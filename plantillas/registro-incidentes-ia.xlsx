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gistro" sheetId="2" state="visible" r:id="rId2"/>
    <sheet name="Resumen" sheetId="3" state="visible" r:id="rId3"/>
    <sheet name="Listas" sheetId="4" state="visible" r:id="rId4"/>
  </sheets>
  <definedNames>
    <definedName name="_xlnm._FilterDatabase" localSheetId="1" hidden="1">'Registro'!$A$4:$T$204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312E81"/>
      <sz val="16"/>
    </font>
    <font>
      <i val="1"/>
      <color rgb="00555555"/>
      <sz val="9"/>
    </font>
    <font>
      <color rgb="00555555"/>
      <sz val="9"/>
    </font>
    <font>
      <b val="1"/>
    </font>
    <font>
      <b val="1"/>
      <color rgb="00312E8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2E81"/>
      </patternFill>
    </fill>
    <fill>
      <patternFill patternType="solid">
        <fgColor rgb="00F4F5FB"/>
      </patternFill>
    </fill>
  </fills>
  <borders count="2">
    <border>
      <left/>
      <right/>
      <top/>
      <bottom/>
      <diagonal/>
    </border>
    <border>
      <left style="thin">
        <color rgb="00D9DCEF"/>
      </left>
      <right style="thin">
        <color rgb="00D9DCEF"/>
      </right>
      <top style="thin">
        <color rgb="00D9DCEF"/>
      </top>
      <bottom style="thin">
        <color rgb="00D9DCE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BF7D0"/>
        </patternFill>
      </fill>
    </dxf>
    <dxf>
      <fill>
        <patternFill patternType="solid">
          <fgColor rgb="00FEF08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Registro de incidentes de IA</t>
        </is>
      </c>
    </row>
    <row r="2" ht="30" customHeight="1">
      <c r="A2" s="2" t="inlineStr">
        <is>
          <t>Plantilla de apoyo de la guía Descifrando ISO 42001. Interpretación del autor; no sustituye a la norma ISO/IEC 42001 ni es asesoría legal. Los nombres de los controles son traducciones libres.</t>
        </is>
      </c>
    </row>
    <row r="4">
      <c r="A4" s="3" t="inlineStr">
        <is>
          <t>1. Registra todo evento en que un sistema de IA haya causado o pudo causar un daño, un incumplimiento o un resultado inaceptable: errores graves, alucinaciones con impacto, trato injusto, ataques, fugas de datos, uso indebido.</t>
        </is>
      </c>
    </row>
    <row r="5">
      <c r="A5" s="3" t="inlineStr">
        <is>
          <t>2. Clasifica el tipo y la severidad. Decide si hay que comunicarlo a usuarios (A.8.4) y si hay obligación de notificar a una autoridad (A.8.5) según tu contexto legal.</t>
        </is>
      </c>
    </row>
    <row r="6">
      <c r="A6" s="3" t="inlineStr">
        <is>
          <t>3. Si el incidente revela una falla del SGIA, abre una no conformidad y una acción correctiva (10.2) y anota su ID.</t>
        </is>
      </c>
    </row>
    <row r="7">
      <c r="A7" s="3" t="inlineStr">
        <is>
          <t>4. Las columnas en gris se calculan solas (días abiertos y alerta de seguimiento).</t>
        </is>
      </c>
    </row>
    <row r="8">
      <c r="A8" s="3" t="inlineStr">
        <is>
          <t>5. Revisa la hoja Resumen en la revisión por la dirección (9.3).</t>
        </is>
      </c>
    </row>
    <row r="9">
      <c r="A9" s="3" t="inlineStr">
        <is>
          <t>6. Las filas de ejemplo corresponden a la empresa ficticia Conversa Labs (caso práctico 3).</t>
        </is>
      </c>
    </row>
    <row r="11">
      <c r="A11" s="4" t="inlineStr">
        <is>
          <t>Autor: Carlos Adrián Guzmán · Descifrando ISO 42001 · Licencia CC BY-SA 4.0 · https://adriangzmncrz-arch.github.io/descifrando-iso42001/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8" customWidth="1" min="4" max="4"/>
    <col width="44" customWidth="1" min="5" max="5"/>
    <col width="22" customWidth="1" min="6" max="6"/>
    <col width="11" customWidth="1" min="7" max="7"/>
    <col width="12" customWidth="1" min="8" max="8"/>
    <col width="12" customWidth="1" min="9" max="9"/>
    <col width="13" customWidth="1" min="10" max="10"/>
    <col width="13" customWidth="1" min="11" max="11"/>
    <col width="32" customWidth="1" min="12" max="12"/>
    <col width="32" customWidth="1" min="13" max="13"/>
    <col width="16" customWidth="1" min="14" max="14"/>
    <col width="18" customWidth="1" min="15" max="15"/>
    <col width="12" customWidth="1" min="16" max="16"/>
    <col width="13" customWidth="1" min="17" max="17"/>
    <col width="10" customWidth="1" min="18" max="18"/>
    <col width="22" customWidth="1" min="19" max="19"/>
    <col width="32" customWidth="1" min="20" max="20"/>
  </cols>
  <sheetData>
    <row r="1">
      <c r="A1" s="5" t="inlineStr">
        <is>
          <t>Registro de incidentes de IA</t>
        </is>
      </c>
    </row>
    <row r="2">
      <c r="A2" s="6" t="inlineStr">
        <is>
          <t>Controles relacionados: A.6.2.6, A.6.2.8, A.8.3, A.8.4, A.8.5, A.10.3 · Cláusula 10.2</t>
        </is>
      </c>
    </row>
    <row r="4" ht="36" customHeight="1">
      <c r="A4" s="7" t="inlineStr">
        <is>
          <t>ID</t>
        </is>
      </c>
      <c r="B4" s="7" t="inlineStr">
        <is>
          <t>Fecha de detección</t>
        </is>
      </c>
      <c r="C4" s="7" t="inlineStr">
        <is>
          <t>Sistema de IA</t>
        </is>
      </c>
      <c r="D4" s="7" t="inlineStr">
        <is>
          <t>Origen del reporte</t>
        </is>
      </c>
      <c r="E4" s="7" t="inlineStr">
        <is>
          <t>Descripción</t>
        </is>
      </c>
      <c r="F4" s="7" t="inlineStr">
        <is>
          <t>Tipo</t>
        </is>
      </c>
      <c r="G4" s="7" t="inlineStr">
        <is>
          <t>Severidad</t>
        </is>
      </c>
      <c r="H4" s="7" t="inlineStr">
        <is>
          <t>Personas afectadas (aprox.)</t>
        </is>
      </c>
      <c r="I4" s="7" t="inlineStr">
        <is>
          <t>¿Afecta a personas externas?</t>
        </is>
      </c>
      <c r="J4" s="7" t="inlineStr">
        <is>
          <t>¿Comunicar a usuarios? (A.8.4)</t>
        </is>
      </c>
      <c r="K4" s="7" t="inlineStr">
        <is>
          <t>¿Notificar a autoridad?</t>
        </is>
      </c>
      <c r="L4" s="7" t="inlineStr">
        <is>
          <t>Contención aplicada</t>
        </is>
      </c>
      <c r="M4" s="7" t="inlineStr">
        <is>
          <t>Causa raíz</t>
        </is>
      </c>
      <c r="N4" s="7" t="inlineStr">
        <is>
          <t>ID de no conformidad / acción correctiva</t>
        </is>
      </c>
      <c r="O4" s="7" t="inlineStr">
        <is>
          <t>Responsable</t>
        </is>
      </c>
      <c r="P4" s="7" t="inlineStr">
        <is>
          <t>Estado</t>
        </is>
      </c>
      <c r="Q4" s="7" t="inlineStr">
        <is>
          <t>Fecha de cierre</t>
        </is>
      </c>
      <c r="R4" s="7" t="inlineStr">
        <is>
          <t>Días abiertos</t>
        </is>
      </c>
      <c r="S4" s="7" t="inlineStr">
        <is>
          <t>Alerta</t>
        </is>
      </c>
      <c r="T4" s="7" t="inlineStr">
        <is>
          <t>Lecciones aprendidas</t>
        </is>
      </c>
    </row>
    <row r="5">
      <c r="A5" s="8" t="inlineStr">
        <is>
          <t>INC-2026-014</t>
        </is>
      </c>
      <c r="B5" s="9" t="n">
        <v>46176</v>
      </c>
      <c r="C5" s="8" t="inlineStr">
        <is>
          <t>Conversa · asistente de aseguradora</t>
        </is>
      </c>
      <c r="D5" s="8" t="inlineStr">
        <is>
          <t>Reporte de cliente</t>
        </is>
      </c>
      <c r="E5" s="8" t="inlineStr">
        <is>
          <t>El asistente afirmó que una póliza cubría un procedimiento que no cubre</t>
        </is>
      </c>
      <c r="F5" s="8" t="inlineStr">
        <is>
          <t>Alucinación con impacto</t>
        </is>
      </c>
      <c r="G5" s="8" t="inlineStr">
        <is>
          <t>Alta</t>
        </is>
      </c>
      <c r="H5" s="8" t="n">
        <v>37</v>
      </c>
      <c r="I5" s="8" t="inlineStr">
        <is>
          <t>Sí</t>
        </is>
      </c>
      <c r="J5" s="8" t="inlineStr">
        <is>
          <t>Sí</t>
        </is>
      </c>
      <c r="K5" s="8" t="inlineStr">
        <is>
          <t>Por determinar</t>
        </is>
      </c>
      <c r="L5" s="8" t="inlineStr">
        <is>
          <t>Se desactivó la intención afectada y se activó respuesta con traspaso a humano</t>
        </is>
      </c>
      <c r="M5" s="8" t="inlineStr">
        <is>
          <t>Documento desactualizado en la base de conocimiento y verificación insuficiente de fuentes</t>
        </is>
      </c>
      <c r="N5" s="8" t="inlineStr">
        <is>
          <t>AC-2026-009</t>
        </is>
      </c>
      <c r="O5" s="8" t="inlineStr">
        <is>
          <t>Responsable de Confianza y Seguridad</t>
        </is>
      </c>
      <c r="P5" s="8" t="inlineStr">
        <is>
          <t>Cerrado</t>
        </is>
      </c>
      <c r="Q5" s="9" t="n">
        <v>46197</v>
      </c>
      <c r="R5" s="10">
        <f>IF(OR(B5="",Q5=""),"",Q5-B5)</f>
        <v/>
      </c>
      <c r="S5" s="10">
        <f>IF(A5="","",IF(AND(P5&lt;&gt;"Cerrado",OR(G5="Alta",G5="Crítica"),J5=""),"Decidir comunicación a usuarios",IF(AND(P5="Cerrado",M5=""),"Cerrado sin causa raíz","")))</f>
        <v/>
      </c>
      <c r="T5" s="8" t="inlineStr">
        <is>
          <t>Agregar prueba de regresión con preguntas de coberturas antes de cada actualización de la base</t>
        </is>
      </c>
    </row>
    <row r="6">
      <c r="A6" s="8" t="inlineStr">
        <is>
          <t>INC-2026-015</t>
        </is>
      </c>
      <c r="B6" s="9" t="n">
        <v>46214</v>
      </c>
      <c r="C6" s="8" t="inlineStr">
        <is>
          <t>Conversa · asistente universitario</t>
        </is>
      </c>
      <c r="D6" s="8" t="inlineStr">
        <is>
          <t>Monitoreo automático</t>
        </is>
      </c>
      <c r="E6" s="8" t="inlineStr">
        <is>
          <t>Intento de inyección de instrucciones para obtener el texto del sistema</t>
        </is>
      </c>
      <c r="F6" s="8" t="inlineStr">
        <is>
          <t>Seguridad propia de la IA</t>
        </is>
      </c>
      <c r="G6" s="8" t="inlineStr">
        <is>
          <t>Media</t>
        </is>
      </c>
      <c r="H6" s="8" t="n">
        <v>0</v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Bloqueo por filtro y revisión de registros</t>
        </is>
      </c>
      <c r="M6" s="8" t="n"/>
      <c r="N6" s="8" t="n"/>
      <c r="O6" s="8" t="inlineStr">
        <is>
          <t>CTO</t>
        </is>
      </c>
      <c r="P6" s="8" t="inlineStr">
        <is>
          <t>En análisis</t>
        </is>
      </c>
      <c r="Q6" s="9" t="n"/>
      <c r="R6" s="10">
        <f>IF(OR(B6="",Q6=""),"",Q6-B6)</f>
        <v/>
      </c>
      <c r="S6" s="10">
        <f>IF(A6="","",IF(AND(P6&lt;&gt;"Cerrado",OR(G6="Alta",G6="Crítica"),J6=""),"Decidir comunicación a usuarios",IF(AND(P6="Cerrado",M6=""),"Cerrado sin causa raíz","")))</f>
        <v/>
      </c>
      <c r="T6" s="8" t="n"/>
    </row>
    <row r="7">
      <c r="A7" s="8" t="n"/>
      <c r="B7" s="9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10">
        <f>IF(OR(B7="",Q7=""),"",Q7-B7)</f>
        <v/>
      </c>
      <c r="S7" s="10">
        <f>IF(A7="","",IF(AND(P7&lt;&gt;"Cerrado",OR(G7="Alta",G7="Crítica"),J7=""),"Decidir comunicación a usuarios",IF(AND(P7="Cerrado",M7=""),"Cerrado sin causa raíz","")))</f>
        <v/>
      </c>
      <c r="T7" s="8" t="n"/>
    </row>
    <row r="8">
      <c r="A8" s="8" t="n"/>
      <c r="B8" s="9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10">
        <f>IF(OR(B8="",Q8=""),"",Q8-B8)</f>
        <v/>
      </c>
      <c r="S8" s="10">
        <f>IF(A8="","",IF(AND(P8&lt;&gt;"Cerrado",OR(G8="Alta",G8="Crítica"),J8=""),"Decidir comunicación a usuarios",IF(AND(P8="Cerrado",M8=""),"Cerrado sin causa raíz","")))</f>
        <v/>
      </c>
      <c r="T8" s="8" t="n"/>
    </row>
    <row r="9">
      <c r="A9" s="8" t="n"/>
      <c r="B9" s="9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10">
        <f>IF(OR(B9="",Q9=""),"",Q9-B9)</f>
        <v/>
      </c>
      <c r="S9" s="10">
        <f>IF(A9="","",IF(AND(P9&lt;&gt;"Cerrado",OR(G9="Alta",G9="Crítica"),J9=""),"Decidir comunicación a usuarios",IF(AND(P9="Cerrado",M9=""),"Cerrado sin causa raíz","")))</f>
        <v/>
      </c>
      <c r="T9" s="8" t="n"/>
    </row>
    <row r="10">
      <c r="A10" s="8" t="n"/>
      <c r="B10" s="9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10">
        <f>IF(OR(B10="",Q10=""),"",Q10-B10)</f>
        <v/>
      </c>
      <c r="S10" s="10">
        <f>IF(A10="","",IF(AND(P10&lt;&gt;"Cerrado",OR(G10="Alta",G10="Crítica"),J10=""),"Decidir comunicación a usuarios",IF(AND(P10="Cerrado",M10=""),"Cerrado sin causa raíz","")))</f>
        <v/>
      </c>
      <c r="T10" s="8" t="n"/>
    </row>
    <row r="11">
      <c r="A11" s="8" t="n"/>
      <c r="B11" s="9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10">
        <f>IF(OR(B11="",Q11=""),"",Q11-B11)</f>
        <v/>
      </c>
      <c r="S11" s="10">
        <f>IF(A11="","",IF(AND(P11&lt;&gt;"Cerrado",OR(G11="Alta",G11="Crítica"),J11=""),"Decidir comunicación a usuarios",IF(AND(P11="Cerrado",M11=""),"Cerrado sin causa raíz","")))</f>
        <v/>
      </c>
      <c r="T11" s="8" t="n"/>
    </row>
    <row r="12">
      <c r="A12" s="8" t="n"/>
      <c r="B12" s="9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10">
        <f>IF(OR(B12="",Q12=""),"",Q12-B12)</f>
        <v/>
      </c>
      <c r="S12" s="10">
        <f>IF(A12="","",IF(AND(P12&lt;&gt;"Cerrado",OR(G12="Alta",G12="Crítica"),J12=""),"Decidir comunicación a usuarios",IF(AND(P12="Cerrado",M12=""),"Cerrado sin causa raíz","")))</f>
        <v/>
      </c>
      <c r="T12" s="8" t="n"/>
    </row>
    <row r="13">
      <c r="A13" s="8" t="n"/>
      <c r="B13" s="9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10">
        <f>IF(OR(B13="",Q13=""),"",Q13-B13)</f>
        <v/>
      </c>
      <c r="S13" s="10">
        <f>IF(A13="","",IF(AND(P13&lt;&gt;"Cerrado",OR(G13="Alta",G13="Crítica"),J13=""),"Decidir comunicación a usuarios",IF(AND(P13="Cerrado",M13=""),"Cerrado sin causa raíz","")))</f>
        <v/>
      </c>
      <c r="T13" s="8" t="n"/>
    </row>
    <row r="14">
      <c r="A14" s="8" t="n"/>
      <c r="B14" s="9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10">
        <f>IF(OR(B14="",Q14=""),"",Q14-B14)</f>
        <v/>
      </c>
      <c r="S14" s="10">
        <f>IF(A14="","",IF(AND(P14&lt;&gt;"Cerrado",OR(G14="Alta",G14="Crítica"),J14=""),"Decidir comunicación a usuarios",IF(AND(P14="Cerrado",M14=""),"Cerrado sin causa raíz","")))</f>
        <v/>
      </c>
      <c r="T14" s="8" t="n"/>
    </row>
    <row r="15">
      <c r="A15" s="8" t="n"/>
      <c r="B15" s="9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10">
        <f>IF(OR(B15="",Q15=""),"",Q15-B15)</f>
        <v/>
      </c>
      <c r="S15" s="10">
        <f>IF(A15="","",IF(AND(P15&lt;&gt;"Cerrado",OR(G15="Alta",G15="Crítica"),J15=""),"Decidir comunicación a usuarios",IF(AND(P15="Cerrado",M15=""),"Cerrado sin causa raíz","")))</f>
        <v/>
      </c>
      <c r="T15" s="8" t="n"/>
    </row>
    <row r="16">
      <c r="A16" s="8" t="n"/>
      <c r="B16" s="9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10">
        <f>IF(OR(B16="",Q16=""),"",Q16-B16)</f>
        <v/>
      </c>
      <c r="S16" s="10">
        <f>IF(A16="","",IF(AND(P16&lt;&gt;"Cerrado",OR(G16="Alta",G16="Crítica"),J16=""),"Decidir comunicación a usuarios",IF(AND(P16="Cerrado",M16=""),"Cerrado sin causa raíz","")))</f>
        <v/>
      </c>
      <c r="T16" s="8" t="n"/>
    </row>
    <row r="17">
      <c r="A17" s="8" t="n"/>
      <c r="B17" s="9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10">
        <f>IF(OR(B17="",Q17=""),"",Q17-B17)</f>
        <v/>
      </c>
      <c r="S17" s="10">
        <f>IF(A17="","",IF(AND(P17&lt;&gt;"Cerrado",OR(G17="Alta",G17="Crítica"),J17=""),"Decidir comunicación a usuarios",IF(AND(P17="Cerrado",M17=""),"Cerrado sin causa raíz","")))</f>
        <v/>
      </c>
      <c r="T17" s="8" t="n"/>
    </row>
    <row r="18">
      <c r="A18" s="8" t="n"/>
      <c r="B18" s="9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10">
        <f>IF(OR(B18="",Q18=""),"",Q18-B18)</f>
        <v/>
      </c>
      <c r="S18" s="10">
        <f>IF(A18="","",IF(AND(P18&lt;&gt;"Cerrado",OR(G18="Alta",G18="Crítica"),J18=""),"Decidir comunicación a usuarios",IF(AND(P18="Cerrado",M18=""),"Cerrado sin causa raíz","")))</f>
        <v/>
      </c>
      <c r="T18" s="8" t="n"/>
    </row>
    <row r="19">
      <c r="A19" s="8" t="n"/>
      <c r="B19" s="9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10">
        <f>IF(OR(B19="",Q19=""),"",Q19-B19)</f>
        <v/>
      </c>
      <c r="S19" s="10">
        <f>IF(A19="","",IF(AND(P19&lt;&gt;"Cerrado",OR(G19="Alta",G19="Crítica"),J19=""),"Decidir comunicación a usuarios",IF(AND(P19="Cerrado",M19=""),"Cerrado sin causa raíz","")))</f>
        <v/>
      </c>
      <c r="T19" s="8" t="n"/>
    </row>
    <row r="20">
      <c r="A20" s="8" t="n"/>
      <c r="B20" s="9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10">
        <f>IF(OR(B20="",Q20=""),"",Q20-B20)</f>
        <v/>
      </c>
      <c r="S20" s="10">
        <f>IF(A20="","",IF(AND(P20&lt;&gt;"Cerrado",OR(G20="Alta",G20="Crítica"),J20=""),"Decidir comunicación a usuarios",IF(AND(P20="Cerrado",M20=""),"Cerrado sin causa raíz","")))</f>
        <v/>
      </c>
      <c r="T20" s="8" t="n"/>
    </row>
    <row r="21">
      <c r="A21" s="8" t="n"/>
      <c r="B21" s="9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10">
        <f>IF(OR(B21="",Q21=""),"",Q21-B21)</f>
        <v/>
      </c>
      <c r="S21" s="10">
        <f>IF(A21="","",IF(AND(P21&lt;&gt;"Cerrado",OR(G21="Alta",G21="Crítica"),J21=""),"Decidir comunicación a usuarios",IF(AND(P21="Cerrado",M21=""),"Cerrado sin causa raíz","")))</f>
        <v/>
      </c>
      <c r="T21" s="8" t="n"/>
    </row>
    <row r="22">
      <c r="A22" s="8" t="n"/>
      <c r="B22" s="9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10">
        <f>IF(OR(B22="",Q22=""),"",Q22-B22)</f>
        <v/>
      </c>
      <c r="S22" s="10">
        <f>IF(A22="","",IF(AND(P22&lt;&gt;"Cerrado",OR(G22="Alta",G22="Crítica"),J22=""),"Decidir comunicación a usuarios",IF(AND(P22="Cerrado",M22=""),"Cerrado sin causa raíz","")))</f>
        <v/>
      </c>
      <c r="T22" s="8" t="n"/>
    </row>
    <row r="23">
      <c r="A23" s="8" t="n"/>
      <c r="B23" s="9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10">
        <f>IF(OR(B23="",Q23=""),"",Q23-B23)</f>
        <v/>
      </c>
      <c r="S23" s="10">
        <f>IF(A23="","",IF(AND(P23&lt;&gt;"Cerrado",OR(G23="Alta",G23="Crítica"),J23=""),"Decidir comunicación a usuarios",IF(AND(P23="Cerrado",M23=""),"Cerrado sin causa raíz","")))</f>
        <v/>
      </c>
      <c r="T23" s="8" t="n"/>
    </row>
    <row r="24">
      <c r="A24" s="8" t="n"/>
      <c r="B24" s="9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10">
        <f>IF(OR(B24="",Q24=""),"",Q24-B24)</f>
        <v/>
      </c>
      <c r="S24" s="10">
        <f>IF(A24="","",IF(AND(P24&lt;&gt;"Cerrado",OR(G24="Alta",G24="Crítica"),J24=""),"Decidir comunicación a usuarios",IF(AND(P24="Cerrado",M24=""),"Cerrado sin causa raíz","")))</f>
        <v/>
      </c>
      <c r="T24" s="8" t="n"/>
    </row>
    <row r="25">
      <c r="A25" s="8" t="n"/>
      <c r="B25" s="9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10">
        <f>IF(OR(B25="",Q25=""),"",Q25-B25)</f>
        <v/>
      </c>
      <c r="S25" s="10">
        <f>IF(A25="","",IF(AND(P25&lt;&gt;"Cerrado",OR(G25="Alta",G25="Crítica"),J25=""),"Decidir comunicación a usuarios",IF(AND(P25="Cerrado",M25=""),"Cerrado sin causa raíz","")))</f>
        <v/>
      </c>
      <c r="T25" s="8" t="n"/>
    </row>
    <row r="26">
      <c r="A26" s="8" t="n"/>
      <c r="B26" s="9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10">
        <f>IF(OR(B26="",Q26=""),"",Q26-B26)</f>
        <v/>
      </c>
      <c r="S26" s="10">
        <f>IF(A26="","",IF(AND(P26&lt;&gt;"Cerrado",OR(G26="Alta",G26="Crítica"),J26=""),"Decidir comunicación a usuarios",IF(AND(P26="Cerrado",M26=""),"Cerrado sin causa raíz","")))</f>
        <v/>
      </c>
      <c r="T26" s="8" t="n"/>
    </row>
    <row r="27">
      <c r="A27" s="8" t="n"/>
      <c r="B27" s="9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10">
        <f>IF(OR(B27="",Q27=""),"",Q27-B27)</f>
        <v/>
      </c>
      <c r="S27" s="10">
        <f>IF(A27="","",IF(AND(P27&lt;&gt;"Cerrado",OR(G27="Alta",G27="Crítica"),J27=""),"Decidir comunicación a usuarios",IF(AND(P27="Cerrado",M27=""),"Cerrado sin causa raíz","")))</f>
        <v/>
      </c>
      <c r="T27" s="8" t="n"/>
    </row>
    <row r="28">
      <c r="A28" s="8" t="n"/>
      <c r="B28" s="9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10">
        <f>IF(OR(B28="",Q28=""),"",Q28-B28)</f>
        <v/>
      </c>
      <c r="S28" s="10">
        <f>IF(A28="","",IF(AND(P28&lt;&gt;"Cerrado",OR(G28="Alta",G28="Crítica"),J28=""),"Decidir comunicación a usuarios",IF(AND(P28="Cerrado",M28=""),"Cerrado sin causa raíz","")))</f>
        <v/>
      </c>
      <c r="T28" s="8" t="n"/>
    </row>
    <row r="29">
      <c r="A29" s="8" t="n"/>
      <c r="B29" s="9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10">
        <f>IF(OR(B29="",Q29=""),"",Q29-B29)</f>
        <v/>
      </c>
      <c r="S29" s="10">
        <f>IF(A29="","",IF(AND(P29&lt;&gt;"Cerrado",OR(G29="Alta",G29="Crítica"),J29=""),"Decidir comunicación a usuarios",IF(AND(P29="Cerrado",M29=""),"Cerrado sin causa raíz","")))</f>
        <v/>
      </c>
      <c r="T29" s="8" t="n"/>
    </row>
    <row r="30">
      <c r="A30" s="8" t="n"/>
      <c r="B30" s="9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10">
        <f>IF(OR(B30="",Q30=""),"",Q30-B30)</f>
        <v/>
      </c>
      <c r="S30" s="10">
        <f>IF(A30="","",IF(AND(P30&lt;&gt;"Cerrado",OR(G30="Alta",G30="Crítica"),J30=""),"Decidir comunicación a usuarios",IF(AND(P30="Cerrado",M30=""),"Cerrado sin causa raíz","")))</f>
        <v/>
      </c>
      <c r="T30" s="8" t="n"/>
    </row>
    <row r="31">
      <c r="A31" s="8" t="n"/>
      <c r="B31" s="9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10">
        <f>IF(OR(B31="",Q31=""),"",Q31-B31)</f>
        <v/>
      </c>
      <c r="S31" s="10">
        <f>IF(A31="","",IF(AND(P31&lt;&gt;"Cerrado",OR(G31="Alta",G31="Crítica"),J31=""),"Decidir comunicación a usuarios",IF(AND(P31="Cerrado",M31=""),"Cerrado sin causa raíz","")))</f>
        <v/>
      </c>
      <c r="T31" s="8" t="n"/>
    </row>
    <row r="32">
      <c r="A32" s="8" t="n"/>
      <c r="B32" s="9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10">
        <f>IF(OR(B32="",Q32=""),"",Q32-B32)</f>
        <v/>
      </c>
      <c r="S32" s="10">
        <f>IF(A32="","",IF(AND(P32&lt;&gt;"Cerrado",OR(G32="Alta",G32="Crítica"),J32=""),"Decidir comunicación a usuarios",IF(AND(P32="Cerrado",M32=""),"Cerrado sin causa raíz","")))</f>
        <v/>
      </c>
      <c r="T32" s="8" t="n"/>
    </row>
    <row r="33">
      <c r="A33" s="8" t="n"/>
      <c r="B33" s="9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10">
        <f>IF(OR(B33="",Q33=""),"",Q33-B33)</f>
        <v/>
      </c>
      <c r="S33" s="10">
        <f>IF(A33="","",IF(AND(P33&lt;&gt;"Cerrado",OR(G33="Alta",G33="Crítica"),J33=""),"Decidir comunicación a usuarios",IF(AND(P33="Cerrado",M33=""),"Cerrado sin causa raíz","")))</f>
        <v/>
      </c>
      <c r="T33" s="8" t="n"/>
    </row>
    <row r="34">
      <c r="A34" s="8" t="n"/>
      <c r="B34" s="9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10">
        <f>IF(OR(B34="",Q34=""),"",Q34-B34)</f>
        <v/>
      </c>
      <c r="S34" s="10">
        <f>IF(A34="","",IF(AND(P34&lt;&gt;"Cerrado",OR(G34="Alta",G34="Crítica"),J34=""),"Decidir comunicación a usuarios",IF(AND(P34="Cerrado",M34=""),"Cerrado sin causa raíz","")))</f>
        <v/>
      </c>
      <c r="T34" s="8" t="n"/>
    </row>
    <row r="35">
      <c r="A35" s="8" t="n"/>
      <c r="B35" s="9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10">
        <f>IF(OR(B35="",Q35=""),"",Q35-B35)</f>
        <v/>
      </c>
      <c r="S35" s="10">
        <f>IF(A35="","",IF(AND(P35&lt;&gt;"Cerrado",OR(G35="Alta",G35="Crítica"),J35=""),"Decidir comunicación a usuarios",IF(AND(P35="Cerrado",M35=""),"Cerrado sin causa raíz","")))</f>
        <v/>
      </c>
      <c r="T35" s="8" t="n"/>
    </row>
    <row r="36">
      <c r="A36" s="8" t="n"/>
      <c r="B36" s="9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10">
        <f>IF(OR(B36="",Q36=""),"",Q36-B36)</f>
        <v/>
      </c>
      <c r="S36" s="10">
        <f>IF(A36="","",IF(AND(P36&lt;&gt;"Cerrado",OR(G36="Alta",G36="Crítica"),J36=""),"Decidir comunicación a usuarios",IF(AND(P36="Cerrado",M36=""),"Cerrado sin causa raíz","")))</f>
        <v/>
      </c>
      <c r="T36" s="8" t="n"/>
    </row>
    <row r="37">
      <c r="A37" s="8" t="n"/>
      <c r="B37" s="9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10">
        <f>IF(OR(B37="",Q37=""),"",Q37-B37)</f>
        <v/>
      </c>
      <c r="S37" s="10">
        <f>IF(A37="","",IF(AND(P37&lt;&gt;"Cerrado",OR(G37="Alta",G37="Crítica"),J37=""),"Decidir comunicación a usuarios",IF(AND(P37="Cerrado",M37=""),"Cerrado sin causa raíz","")))</f>
        <v/>
      </c>
      <c r="T37" s="8" t="n"/>
    </row>
    <row r="38">
      <c r="A38" s="8" t="n"/>
      <c r="B38" s="9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10">
        <f>IF(OR(B38="",Q38=""),"",Q38-B38)</f>
        <v/>
      </c>
      <c r="S38" s="10">
        <f>IF(A38="","",IF(AND(P38&lt;&gt;"Cerrado",OR(G38="Alta",G38="Crítica"),J38=""),"Decidir comunicación a usuarios",IF(AND(P38="Cerrado",M38=""),"Cerrado sin causa raíz","")))</f>
        <v/>
      </c>
      <c r="T38" s="8" t="n"/>
    </row>
    <row r="39">
      <c r="A39" s="8" t="n"/>
      <c r="B39" s="9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10">
        <f>IF(OR(B39="",Q39=""),"",Q39-B39)</f>
        <v/>
      </c>
      <c r="S39" s="10">
        <f>IF(A39="","",IF(AND(P39&lt;&gt;"Cerrado",OR(G39="Alta",G39="Crítica"),J39=""),"Decidir comunicación a usuarios",IF(AND(P39="Cerrado",M39=""),"Cerrado sin causa raíz","")))</f>
        <v/>
      </c>
      <c r="T39" s="8" t="n"/>
    </row>
    <row r="40">
      <c r="A40" s="8" t="n"/>
      <c r="B40" s="9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10">
        <f>IF(OR(B40="",Q40=""),"",Q40-B40)</f>
        <v/>
      </c>
      <c r="S40" s="10">
        <f>IF(A40="","",IF(AND(P40&lt;&gt;"Cerrado",OR(G40="Alta",G40="Crítica"),J40=""),"Decidir comunicación a usuarios",IF(AND(P40="Cerrado",M40=""),"Cerrado sin causa raíz","")))</f>
        <v/>
      </c>
      <c r="T40" s="8" t="n"/>
    </row>
    <row r="41">
      <c r="A41" s="8" t="n"/>
      <c r="B41" s="9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10">
        <f>IF(OR(B41="",Q41=""),"",Q41-B41)</f>
        <v/>
      </c>
      <c r="S41" s="10">
        <f>IF(A41="","",IF(AND(P41&lt;&gt;"Cerrado",OR(G41="Alta",G41="Crítica"),J41=""),"Decidir comunicación a usuarios",IF(AND(P41="Cerrado",M41=""),"Cerrado sin causa raíz","")))</f>
        <v/>
      </c>
      <c r="T41" s="8" t="n"/>
    </row>
    <row r="42">
      <c r="A42" s="8" t="n"/>
      <c r="B42" s="9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10">
        <f>IF(OR(B42="",Q42=""),"",Q42-B42)</f>
        <v/>
      </c>
      <c r="S42" s="10">
        <f>IF(A42="","",IF(AND(P42&lt;&gt;"Cerrado",OR(G42="Alta",G42="Crítica"),J42=""),"Decidir comunicación a usuarios",IF(AND(P42="Cerrado",M42=""),"Cerrado sin causa raíz","")))</f>
        <v/>
      </c>
      <c r="T42" s="8" t="n"/>
    </row>
    <row r="43">
      <c r="A43" s="8" t="n"/>
      <c r="B43" s="9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10">
        <f>IF(OR(B43="",Q43=""),"",Q43-B43)</f>
        <v/>
      </c>
      <c r="S43" s="10">
        <f>IF(A43="","",IF(AND(P43&lt;&gt;"Cerrado",OR(G43="Alta",G43="Crítica"),J43=""),"Decidir comunicación a usuarios",IF(AND(P43="Cerrado",M43=""),"Cerrado sin causa raíz","")))</f>
        <v/>
      </c>
      <c r="T43" s="8" t="n"/>
    </row>
    <row r="44">
      <c r="A44" s="8" t="n"/>
      <c r="B44" s="9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10">
        <f>IF(OR(B44="",Q44=""),"",Q44-B44)</f>
        <v/>
      </c>
      <c r="S44" s="10">
        <f>IF(A44="","",IF(AND(P44&lt;&gt;"Cerrado",OR(G44="Alta",G44="Crítica"),J44=""),"Decidir comunicación a usuarios",IF(AND(P44="Cerrado",M44=""),"Cerrado sin causa raíz","")))</f>
        <v/>
      </c>
      <c r="T44" s="8" t="n"/>
    </row>
    <row r="45">
      <c r="A45" s="8" t="n"/>
      <c r="B45" s="9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10">
        <f>IF(OR(B45="",Q45=""),"",Q45-B45)</f>
        <v/>
      </c>
      <c r="S45" s="10">
        <f>IF(A45="","",IF(AND(P45&lt;&gt;"Cerrado",OR(G45="Alta",G45="Crítica"),J45=""),"Decidir comunicación a usuarios",IF(AND(P45="Cerrado",M45=""),"Cerrado sin causa raíz","")))</f>
        <v/>
      </c>
      <c r="T45" s="8" t="n"/>
    </row>
    <row r="46">
      <c r="A46" s="8" t="n"/>
      <c r="B46" s="9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10">
        <f>IF(OR(B46="",Q46=""),"",Q46-B46)</f>
        <v/>
      </c>
      <c r="S46" s="10">
        <f>IF(A46="","",IF(AND(P46&lt;&gt;"Cerrado",OR(G46="Alta",G46="Crítica"),J46=""),"Decidir comunicación a usuarios",IF(AND(P46="Cerrado",M46=""),"Cerrado sin causa raíz","")))</f>
        <v/>
      </c>
      <c r="T46" s="8" t="n"/>
    </row>
    <row r="47">
      <c r="A47" s="8" t="n"/>
      <c r="B47" s="9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10">
        <f>IF(OR(B47="",Q47=""),"",Q47-B47)</f>
        <v/>
      </c>
      <c r="S47" s="10">
        <f>IF(A47="","",IF(AND(P47&lt;&gt;"Cerrado",OR(G47="Alta",G47="Crítica"),J47=""),"Decidir comunicación a usuarios",IF(AND(P47="Cerrado",M47=""),"Cerrado sin causa raíz","")))</f>
        <v/>
      </c>
      <c r="T47" s="8" t="n"/>
    </row>
    <row r="48">
      <c r="A48" s="8" t="n"/>
      <c r="B48" s="9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10">
        <f>IF(OR(B48="",Q48=""),"",Q48-B48)</f>
        <v/>
      </c>
      <c r="S48" s="10">
        <f>IF(A48="","",IF(AND(P48&lt;&gt;"Cerrado",OR(G48="Alta",G48="Crítica"),J48=""),"Decidir comunicación a usuarios",IF(AND(P48="Cerrado",M48=""),"Cerrado sin causa raíz","")))</f>
        <v/>
      </c>
      <c r="T48" s="8" t="n"/>
    </row>
    <row r="49">
      <c r="A49" s="8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10">
        <f>IF(OR(B49="",Q49=""),"",Q49-B49)</f>
        <v/>
      </c>
      <c r="S49" s="10">
        <f>IF(A49="","",IF(AND(P49&lt;&gt;"Cerrado",OR(G49="Alta",G49="Crítica"),J49=""),"Decidir comunicación a usuarios",IF(AND(P49="Cerrado",M49=""),"Cerrado sin causa raíz","")))</f>
        <v/>
      </c>
      <c r="T49" s="8" t="n"/>
    </row>
    <row r="50">
      <c r="A50" s="8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10">
        <f>IF(OR(B50="",Q50=""),"",Q50-B50)</f>
        <v/>
      </c>
      <c r="S50" s="10">
        <f>IF(A50="","",IF(AND(P50&lt;&gt;"Cerrado",OR(G50="Alta",G50="Crítica"),J50=""),"Decidir comunicación a usuarios",IF(AND(P50="Cerrado",M50=""),"Cerrado sin causa raíz","")))</f>
        <v/>
      </c>
      <c r="T50" s="8" t="n"/>
    </row>
    <row r="51">
      <c r="A51" s="8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10">
        <f>IF(OR(B51="",Q51=""),"",Q51-B51)</f>
        <v/>
      </c>
      <c r="S51" s="10">
        <f>IF(A51="","",IF(AND(P51&lt;&gt;"Cerrado",OR(G51="Alta",G51="Crítica"),J51=""),"Decidir comunicación a usuarios",IF(AND(P51="Cerrado",M51=""),"Cerrado sin causa raíz","")))</f>
        <v/>
      </c>
      <c r="T51" s="8" t="n"/>
    </row>
    <row r="52">
      <c r="A52" s="8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10">
        <f>IF(OR(B52="",Q52=""),"",Q52-B52)</f>
        <v/>
      </c>
      <c r="S52" s="10">
        <f>IF(A52="","",IF(AND(P52&lt;&gt;"Cerrado",OR(G52="Alta",G52="Crítica"),J52=""),"Decidir comunicación a usuarios",IF(AND(P52="Cerrado",M52=""),"Cerrado sin causa raíz","")))</f>
        <v/>
      </c>
      <c r="T52" s="8" t="n"/>
    </row>
    <row r="53">
      <c r="A53" s="8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10">
        <f>IF(OR(B53="",Q53=""),"",Q53-B53)</f>
        <v/>
      </c>
      <c r="S53" s="10">
        <f>IF(A53="","",IF(AND(P53&lt;&gt;"Cerrado",OR(G53="Alta",G53="Crítica"),J53=""),"Decidir comunicación a usuarios",IF(AND(P53="Cerrado",M53=""),"Cerrado sin causa raíz","")))</f>
        <v/>
      </c>
      <c r="T53" s="8" t="n"/>
    </row>
    <row r="54">
      <c r="A54" s="8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10">
        <f>IF(OR(B54="",Q54=""),"",Q54-B54)</f>
        <v/>
      </c>
      <c r="S54" s="10">
        <f>IF(A54="","",IF(AND(P54&lt;&gt;"Cerrado",OR(G54="Alta",G54="Crítica"),J54=""),"Decidir comunicación a usuarios",IF(AND(P54="Cerrado",M54=""),"Cerrado sin causa raíz","")))</f>
        <v/>
      </c>
      <c r="T54" s="8" t="n"/>
    </row>
    <row r="55">
      <c r="A55" s="8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10">
        <f>IF(OR(B55="",Q55=""),"",Q55-B55)</f>
        <v/>
      </c>
      <c r="S55" s="10">
        <f>IF(A55="","",IF(AND(P55&lt;&gt;"Cerrado",OR(G55="Alta",G55="Crítica"),J55=""),"Decidir comunicación a usuarios",IF(AND(P55="Cerrado",M55=""),"Cerrado sin causa raíz","")))</f>
        <v/>
      </c>
      <c r="T55" s="8" t="n"/>
    </row>
    <row r="56">
      <c r="A56" s="8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10">
        <f>IF(OR(B56="",Q56=""),"",Q56-B56)</f>
        <v/>
      </c>
      <c r="S56" s="10">
        <f>IF(A56="","",IF(AND(P56&lt;&gt;"Cerrado",OR(G56="Alta",G56="Crítica"),J56=""),"Decidir comunicación a usuarios",IF(AND(P56="Cerrado",M56=""),"Cerrado sin causa raíz","")))</f>
        <v/>
      </c>
      <c r="T56" s="8" t="n"/>
    </row>
    <row r="57">
      <c r="A57" s="8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10">
        <f>IF(OR(B57="",Q57=""),"",Q57-B57)</f>
        <v/>
      </c>
      <c r="S57" s="10">
        <f>IF(A57="","",IF(AND(P57&lt;&gt;"Cerrado",OR(G57="Alta",G57="Crítica"),J57=""),"Decidir comunicación a usuarios",IF(AND(P57="Cerrado",M57=""),"Cerrado sin causa raíz","")))</f>
        <v/>
      </c>
      <c r="T57" s="8" t="n"/>
    </row>
    <row r="58">
      <c r="A58" s="8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10">
        <f>IF(OR(B58="",Q58=""),"",Q58-B58)</f>
        <v/>
      </c>
      <c r="S58" s="10">
        <f>IF(A58="","",IF(AND(P58&lt;&gt;"Cerrado",OR(G58="Alta",G58="Crítica"),J58=""),"Decidir comunicación a usuarios",IF(AND(P58="Cerrado",M58=""),"Cerrado sin causa raíz","")))</f>
        <v/>
      </c>
      <c r="T58" s="8" t="n"/>
    </row>
    <row r="59">
      <c r="A59" s="8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10">
        <f>IF(OR(B59="",Q59=""),"",Q59-B59)</f>
        <v/>
      </c>
      <c r="S59" s="10">
        <f>IF(A59="","",IF(AND(P59&lt;&gt;"Cerrado",OR(G59="Alta",G59="Crítica"),J59=""),"Decidir comunicación a usuarios",IF(AND(P59="Cerrado",M59=""),"Cerrado sin causa raíz","")))</f>
        <v/>
      </c>
      <c r="T59" s="8" t="n"/>
    </row>
    <row r="60">
      <c r="A60" s="8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10">
        <f>IF(OR(B60="",Q60=""),"",Q60-B60)</f>
        <v/>
      </c>
      <c r="S60" s="10">
        <f>IF(A60="","",IF(AND(P60&lt;&gt;"Cerrado",OR(G60="Alta",G60="Crítica"),J60=""),"Decidir comunicación a usuarios",IF(AND(P60="Cerrado",M60=""),"Cerrado sin causa raíz","")))</f>
        <v/>
      </c>
      <c r="T60" s="8" t="n"/>
    </row>
    <row r="61">
      <c r="A61" s="8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10">
        <f>IF(OR(B61="",Q61=""),"",Q61-B61)</f>
        <v/>
      </c>
      <c r="S61" s="10">
        <f>IF(A61="","",IF(AND(P61&lt;&gt;"Cerrado",OR(G61="Alta",G61="Crítica"),J61=""),"Decidir comunicación a usuarios",IF(AND(P61="Cerrado",M61=""),"Cerrado sin causa raíz","")))</f>
        <v/>
      </c>
      <c r="T61" s="8" t="n"/>
    </row>
    <row r="62">
      <c r="A62" s="8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10">
        <f>IF(OR(B62="",Q62=""),"",Q62-B62)</f>
        <v/>
      </c>
      <c r="S62" s="10">
        <f>IF(A62="","",IF(AND(P62&lt;&gt;"Cerrado",OR(G62="Alta",G62="Crítica"),J62=""),"Decidir comunicación a usuarios",IF(AND(P62="Cerrado",M62=""),"Cerrado sin causa raíz","")))</f>
        <v/>
      </c>
      <c r="T62" s="8" t="n"/>
    </row>
    <row r="63">
      <c r="A63" s="8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10">
        <f>IF(OR(B63="",Q63=""),"",Q63-B63)</f>
        <v/>
      </c>
      <c r="S63" s="10">
        <f>IF(A63="","",IF(AND(P63&lt;&gt;"Cerrado",OR(G63="Alta",G63="Crítica"),J63=""),"Decidir comunicación a usuarios",IF(AND(P63="Cerrado",M63=""),"Cerrado sin causa raíz","")))</f>
        <v/>
      </c>
      <c r="T63" s="8" t="n"/>
    </row>
    <row r="64">
      <c r="A64" s="8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10">
        <f>IF(OR(B64="",Q64=""),"",Q64-B64)</f>
        <v/>
      </c>
      <c r="S64" s="10">
        <f>IF(A64="","",IF(AND(P64&lt;&gt;"Cerrado",OR(G64="Alta",G64="Crítica"),J64=""),"Decidir comunicación a usuarios",IF(AND(P64="Cerrado",M64=""),"Cerrado sin causa raíz","")))</f>
        <v/>
      </c>
      <c r="T64" s="8" t="n"/>
    </row>
    <row r="65">
      <c r="A65" s="8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10">
        <f>IF(OR(B65="",Q65=""),"",Q65-B65)</f>
        <v/>
      </c>
      <c r="S65" s="10">
        <f>IF(A65="","",IF(AND(P65&lt;&gt;"Cerrado",OR(G65="Alta",G65="Crítica"),J65=""),"Decidir comunicación a usuarios",IF(AND(P65="Cerrado",M65=""),"Cerrado sin causa raíz","")))</f>
        <v/>
      </c>
      <c r="T65" s="8" t="n"/>
    </row>
    <row r="66">
      <c r="A66" s="8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10">
        <f>IF(OR(B66="",Q66=""),"",Q66-B66)</f>
        <v/>
      </c>
      <c r="S66" s="10">
        <f>IF(A66="","",IF(AND(P66&lt;&gt;"Cerrado",OR(G66="Alta",G66="Crítica"),J66=""),"Decidir comunicación a usuarios",IF(AND(P66="Cerrado",M66=""),"Cerrado sin causa raíz","")))</f>
        <v/>
      </c>
      <c r="T66" s="8" t="n"/>
    </row>
    <row r="67">
      <c r="A67" s="8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10">
        <f>IF(OR(B67="",Q67=""),"",Q67-B67)</f>
        <v/>
      </c>
      <c r="S67" s="10">
        <f>IF(A67="","",IF(AND(P67&lt;&gt;"Cerrado",OR(G67="Alta",G67="Crítica"),J67=""),"Decidir comunicación a usuarios",IF(AND(P67="Cerrado",M67=""),"Cerrado sin causa raíz","")))</f>
        <v/>
      </c>
      <c r="T67" s="8" t="n"/>
    </row>
    <row r="68">
      <c r="A68" s="8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10">
        <f>IF(OR(B68="",Q68=""),"",Q68-B68)</f>
        <v/>
      </c>
      <c r="S68" s="10">
        <f>IF(A68="","",IF(AND(P68&lt;&gt;"Cerrado",OR(G68="Alta",G68="Crítica"),J68=""),"Decidir comunicación a usuarios",IF(AND(P68="Cerrado",M68=""),"Cerrado sin causa raíz","")))</f>
        <v/>
      </c>
      <c r="T68" s="8" t="n"/>
    </row>
    <row r="69">
      <c r="A69" s="8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10">
        <f>IF(OR(B69="",Q69=""),"",Q69-B69)</f>
        <v/>
      </c>
      <c r="S69" s="10">
        <f>IF(A69="","",IF(AND(P69&lt;&gt;"Cerrado",OR(G69="Alta",G69="Crítica"),J69=""),"Decidir comunicación a usuarios",IF(AND(P69="Cerrado",M69=""),"Cerrado sin causa raíz","")))</f>
        <v/>
      </c>
      <c r="T69" s="8" t="n"/>
    </row>
    <row r="70">
      <c r="A70" s="8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10">
        <f>IF(OR(B70="",Q70=""),"",Q70-B70)</f>
        <v/>
      </c>
      <c r="S70" s="10">
        <f>IF(A70="","",IF(AND(P70&lt;&gt;"Cerrado",OR(G70="Alta",G70="Crítica"),J70=""),"Decidir comunicación a usuarios",IF(AND(P70="Cerrado",M70=""),"Cerrado sin causa raíz","")))</f>
        <v/>
      </c>
      <c r="T70" s="8" t="n"/>
    </row>
    <row r="71">
      <c r="A71" s="8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10">
        <f>IF(OR(B71="",Q71=""),"",Q71-B71)</f>
        <v/>
      </c>
      <c r="S71" s="10">
        <f>IF(A71="","",IF(AND(P71&lt;&gt;"Cerrado",OR(G71="Alta",G71="Crítica"),J71=""),"Decidir comunicación a usuarios",IF(AND(P71="Cerrado",M71=""),"Cerrado sin causa raíz","")))</f>
        <v/>
      </c>
      <c r="T71" s="8" t="n"/>
    </row>
    <row r="72">
      <c r="A72" s="8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10">
        <f>IF(OR(B72="",Q72=""),"",Q72-B72)</f>
        <v/>
      </c>
      <c r="S72" s="10">
        <f>IF(A72="","",IF(AND(P72&lt;&gt;"Cerrado",OR(G72="Alta",G72="Crítica"),J72=""),"Decidir comunicación a usuarios",IF(AND(P72="Cerrado",M72=""),"Cerrado sin causa raíz","")))</f>
        <v/>
      </c>
      <c r="T72" s="8" t="n"/>
    </row>
    <row r="73">
      <c r="A73" s="8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10">
        <f>IF(OR(B73="",Q73=""),"",Q73-B73)</f>
        <v/>
      </c>
      <c r="S73" s="10">
        <f>IF(A73="","",IF(AND(P73&lt;&gt;"Cerrado",OR(G73="Alta",G73="Crítica"),J73=""),"Decidir comunicación a usuarios",IF(AND(P73="Cerrado",M73=""),"Cerrado sin causa raíz","")))</f>
        <v/>
      </c>
      <c r="T73" s="8" t="n"/>
    </row>
    <row r="74">
      <c r="A74" s="8" t="n"/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10">
        <f>IF(OR(B74="",Q74=""),"",Q74-B74)</f>
        <v/>
      </c>
      <c r="S74" s="10">
        <f>IF(A74="","",IF(AND(P74&lt;&gt;"Cerrado",OR(G74="Alta",G74="Crítica"),J74=""),"Decidir comunicación a usuarios",IF(AND(P74="Cerrado",M74=""),"Cerrado sin causa raíz","")))</f>
        <v/>
      </c>
      <c r="T74" s="8" t="n"/>
    </row>
    <row r="75">
      <c r="A75" s="8" t="n"/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10">
        <f>IF(OR(B75="",Q75=""),"",Q75-B75)</f>
        <v/>
      </c>
      <c r="S75" s="10">
        <f>IF(A75="","",IF(AND(P75&lt;&gt;"Cerrado",OR(G75="Alta",G75="Crítica"),J75=""),"Decidir comunicación a usuarios",IF(AND(P75="Cerrado",M75=""),"Cerrado sin causa raíz","")))</f>
        <v/>
      </c>
      <c r="T75" s="8" t="n"/>
    </row>
    <row r="76">
      <c r="A76" s="8" t="n"/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10">
        <f>IF(OR(B76="",Q76=""),"",Q76-B76)</f>
        <v/>
      </c>
      <c r="S76" s="10">
        <f>IF(A76="","",IF(AND(P76&lt;&gt;"Cerrado",OR(G76="Alta",G76="Crítica"),J76=""),"Decidir comunicación a usuarios",IF(AND(P76="Cerrado",M76=""),"Cerrado sin causa raíz","")))</f>
        <v/>
      </c>
      <c r="T76" s="8" t="n"/>
    </row>
    <row r="77">
      <c r="A77" s="8" t="n"/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10">
        <f>IF(OR(B77="",Q77=""),"",Q77-B77)</f>
        <v/>
      </c>
      <c r="S77" s="10">
        <f>IF(A77="","",IF(AND(P77&lt;&gt;"Cerrado",OR(G77="Alta",G77="Crítica"),J77=""),"Decidir comunicación a usuarios",IF(AND(P77="Cerrado",M77=""),"Cerrado sin causa raíz","")))</f>
        <v/>
      </c>
      <c r="T77" s="8" t="n"/>
    </row>
    <row r="78">
      <c r="A78" s="8" t="n"/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10">
        <f>IF(OR(B78="",Q78=""),"",Q78-B78)</f>
        <v/>
      </c>
      <c r="S78" s="10">
        <f>IF(A78="","",IF(AND(P78&lt;&gt;"Cerrado",OR(G78="Alta",G78="Crítica"),J78=""),"Decidir comunicación a usuarios",IF(AND(P78="Cerrado",M78=""),"Cerrado sin causa raíz","")))</f>
        <v/>
      </c>
      <c r="T78" s="8" t="n"/>
    </row>
    <row r="79">
      <c r="A79" s="8" t="n"/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10">
        <f>IF(OR(B79="",Q79=""),"",Q79-B79)</f>
        <v/>
      </c>
      <c r="S79" s="10">
        <f>IF(A79="","",IF(AND(P79&lt;&gt;"Cerrado",OR(G79="Alta",G79="Crítica"),J79=""),"Decidir comunicación a usuarios",IF(AND(P79="Cerrado",M79=""),"Cerrado sin causa raíz","")))</f>
        <v/>
      </c>
      <c r="T79" s="8" t="n"/>
    </row>
    <row r="80">
      <c r="A80" s="8" t="n"/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10">
        <f>IF(OR(B80="",Q80=""),"",Q80-B80)</f>
        <v/>
      </c>
      <c r="S80" s="10">
        <f>IF(A80="","",IF(AND(P80&lt;&gt;"Cerrado",OR(G80="Alta",G80="Crítica"),J80=""),"Decidir comunicación a usuarios",IF(AND(P80="Cerrado",M80=""),"Cerrado sin causa raíz","")))</f>
        <v/>
      </c>
      <c r="T80" s="8" t="n"/>
    </row>
    <row r="81">
      <c r="A81" s="8" t="n"/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10">
        <f>IF(OR(B81="",Q81=""),"",Q81-B81)</f>
        <v/>
      </c>
      <c r="S81" s="10">
        <f>IF(A81="","",IF(AND(P81&lt;&gt;"Cerrado",OR(G81="Alta",G81="Crítica"),J81=""),"Decidir comunicación a usuarios",IF(AND(P81="Cerrado",M81=""),"Cerrado sin causa raíz","")))</f>
        <v/>
      </c>
      <c r="T81" s="8" t="n"/>
    </row>
    <row r="82">
      <c r="A82" s="8" t="n"/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10">
        <f>IF(OR(B82="",Q82=""),"",Q82-B82)</f>
        <v/>
      </c>
      <c r="S82" s="10">
        <f>IF(A82="","",IF(AND(P82&lt;&gt;"Cerrado",OR(G82="Alta",G82="Crítica"),J82=""),"Decidir comunicación a usuarios",IF(AND(P82="Cerrado",M82=""),"Cerrado sin causa raíz","")))</f>
        <v/>
      </c>
      <c r="T82" s="8" t="n"/>
    </row>
    <row r="83">
      <c r="A83" s="8" t="n"/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10">
        <f>IF(OR(B83="",Q83=""),"",Q83-B83)</f>
        <v/>
      </c>
      <c r="S83" s="10">
        <f>IF(A83="","",IF(AND(P83&lt;&gt;"Cerrado",OR(G83="Alta",G83="Crítica"),J83=""),"Decidir comunicación a usuarios",IF(AND(P83="Cerrado",M83=""),"Cerrado sin causa raíz","")))</f>
        <v/>
      </c>
      <c r="T83" s="8" t="n"/>
    </row>
    <row r="84">
      <c r="A84" s="8" t="n"/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10">
        <f>IF(OR(B84="",Q84=""),"",Q84-B84)</f>
        <v/>
      </c>
      <c r="S84" s="10">
        <f>IF(A84="","",IF(AND(P84&lt;&gt;"Cerrado",OR(G84="Alta",G84="Crítica"),J84=""),"Decidir comunicación a usuarios",IF(AND(P84="Cerrado",M84=""),"Cerrado sin causa raíz","")))</f>
        <v/>
      </c>
      <c r="T84" s="8" t="n"/>
    </row>
    <row r="85">
      <c r="A85" s="8" t="n"/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10">
        <f>IF(OR(B85="",Q85=""),"",Q85-B85)</f>
        <v/>
      </c>
      <c r="S85" s="10">
        <f>IF(A85="","",IF(AND(P85&lt;&gt;"Cerrado",OR(G85="Alta",G85="Crítica"),J85=""),"Decidir comunicación a usuarios",IF(AND(P85="Cerrado",M85=""),"Cerrado sin causa raíz","")))</f>
        <v/>
      </c>
      <c r="T85" s="8" t="n"/>
    </row>
    <row r="86">
      <c r="A86" s="8" t="n"/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10">
        <f>IF(OR(B86="",Q86=""),"",Q86-B86)</f>
        <v/>
      </c>
      <c r="S86" s="10">
        <f>IF(A86="","",IF(AND(P86&lt;&gt;"Cerrado",OR(G86="Alta",G86="Crítica"),J86=""),"Decidir comunicación a usuarios",IF(AND(P86="Cerrado",M86=""),"Cerrado sin causa raíz","")))</f>
        <v/>
      </c>
      <c r="T86" s="8" t="n"/>
    </row>
    <row r="87">
      <c r="A87" s="8" t="n"/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10">
        <f>IF(OR(B87="",Q87=""),"",Q87-B87)</f>
        <v/>
      </c>
      <c r="S87" s="10">
        <f>IF(A87="","",IF(AND(P87&lt;&gt;"Cerrado",OR(G87="Alta",G87="Crítica"),J87=""),"Decidir comunicación a usuarios",IF(AND(P87="Cerrado",M87=""),"Cerrado sin causa raíz","")))</f>
        <v/>
      </c>
      <c r="T87" s="8" t="n"/>
    </row>
    <row r="88">
      <c r="A88" s="8" t="n"/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10">
        <f>IF(OR(B88="",Q88=""),"",Q88-B88)</f>
        <v/>
      </c>
      <c r="S88" s="10">
        <f>IF(A88="","",IF(AND(P88&lt;&gt;"Cerrado",OR(G88="Alta",G88="Crítica"),J88=""),"Decidir comunicación a usuarios",IF(AND(P88="Cerrado",M88=""),"Cerrado sin causa raíz","")))</f>
        <v/>
      </c>
      <c r="T88" s="8" t="n"/>
    </row>
    <row r="89">
      <c r="A89" s="8" t="n"/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10">
        <f>IF(OR(B89="",Q89=""),"",Q89-B89)</f>
        <v/>
      </c>
      <c r="S89" s="10">
        <f>IF(A89="","",IF(AND(P89&lt;&gt;"Cerrado",OR(G89="Alta",G89="Crítica"),J89=""),"Decidir comunicación a usuarios",IF(AND(P89="Cerrado",M89=""),"Cerrado sin causa raíz","")))</f>
        <v/>
      </c>
      <c r="T89" s="8" t="n"/>
    </row>
    <row r="90">
      <c r="A90" s="8" t="n"/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10">
        <f>IF(OR(B90="",Q90=""),"",Q90-B90)</f>
        <v/>
      </c>
      <c r="S90" s="10">
        <f>IF(A90="","",IF(AND(P90&lt;&gt;"Cerrado",OR(G90="Alta",G90="Crítica"),J90=""),"Decidir comunicación a usuarios",IF(AND(P90="Cerrado",M90=""),"Cerrado sin causa raíz","")))</f>
        <v/>
      </c>
      <c r="T90" s="8" t="n"/>
    </row>
    <row r="91">
      <c r="A91" s="8" t="n"/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10">
        <f>IF(OR(B91="",Q91=""),"",Q91-B91)</f>
        <v/>
      </c>
      <c r="S91" s="10">
        <f>IF(A91="","",IF(AND(P91&lt;&gt;"Cerrado",OR(G91="Alta",G91="Crítica"),J91=""),"Decidir comunicación a usuarios",IF(AND(P91="Cerrado",M91=""),"Cerrado sin causa raíz","")))</f>
        <v/>
      </c>
      <c r="T91" s="8" t="n"/>
    </row>
    <row r="92">
      <c r="A92" s="8" t="n"/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10">
        <f>IF(OR(B92="",Q92=""),"",Q92-B92)</f>
        <v/>
      </c>
      <c r="S92" s="10">
        <f>IF(A92="","",IF(AND(P92&lt;&gt;"Cerrado",OR(G92="Alta",G92="Crítica"),J92=""),"Decidir comunicación a usuarios",IF(AND(P92="Cerrado",M92=""),"Cerrado sin causa raíz","")))</f>
        <v/>
      </c>
      <c r="T92" s="8" t="n"/>
    </row>
    <row r="93">
      <c r="A93" s="8" t="n"/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10">
        <f>IF(OR(B93="",Q93=""),"",Q93-B93)</f>
        <v/>
      </c>
      <c r="S93" s="10">
        <f>IF(A93="","",IF(AND(P93&lt;&gt;"Cerrado",OR(G93="Alta",G93="Crítica"),J93=""),"Decidir comunicación a usuarios",IF(AND(P93="Cerrado",M93=""),"Cerrado sin causa raíz","")))</f>
        <v/>
      </c>
      <c r="T93" s="8" t="n"/>
    </row>
    <row r="94">
      <c r="A94" s="8" t="n"/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10">
        <f>IF(OR(B94="",Q94=""),"",Q94-B94)</f>
        <v/>
      </c>
      <c r="S94" s="10">
        <f>IF(A94="","",IF(AND(P94&lt;&gt;"Cerrado",OR(G94="Alta",G94="Crítica"),J94=""),"Decidir comunicación a usuarios",IF(AND(P94="Cerrado",M94=""),"Cerrado sin causa raíz","")))</f>
        <v/>
      </c>
      <c r="T94" s="8" t="n"/>
    </row>
    <row r="95">
      <c r="A95" s="8" t="n"/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10">
        <f>IF(OR(B95="",Q95=""),"",Q95-B95)</f>
        <v/>
      </c>
      <c r="S95" s="10">
        <f>IF(A95="","",IF(AND(P95&lt;&gt;"Cerrado",OR(G95="Alta",G95="Crítica"),J95=""),"Decidir comunicación a usuarios",IF(AND(P95="Cerrado",M95=""),"Cerrado sin causa raíz","")))</f>
        <v/>
      </c>
      <c r="T95" s="8" t="n"/>
    </row>
    <row r="96">
      <c r="A96" s="8" t="n"/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10">
        <f>IF(OR(B96="",Q96=""),"",Q96-B96)</f>
        <v/>
      </c>
      <c r="S96" s="10">
        <f>IF(A96="","",IF(AND(P96&lt;&gt;"Cerrado",OR(G96="Alta",G96="Crítica"),J96=""),"Decidir comunicación a usuarios",IF(AND(P96="Cerrado",M96=""),"Cerrado sin causa raíz","")))</f>
        <v/>
      </c>
      <c r="T96" s="8" t="n"/>
    </row>
    <row r="97">
      <c r="A97" s="8" t="n"/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10">
        <f>IF(OR(B97="",Q97=""),"",Q97-B97)</f>
        <v/>
      </c>
      <c r="S97" s="10">
        <f>IF(A97="","",IF(AND(P97&lt;&gt;"Cerrado",OR(G97="Alta",G97="Crítica"),J97=""),"Decidir comunicación a usuarios",IF(AND(P97="Cerrado",M97=""),"Cerrado sin causa raíz","")))</f>
        <v/>
      </c>
      <c r="T97" s="8" t="n"/>
    </row>
    <row r="98">
      <c r="A98" s="8" t="n"/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10">
        <f>IF(OR(B98="",Q98=""),"",Q98-B98)</f>
        <v/>
      </c>
      <c r="S98" s="10">
        <f>IF(A98="","",IF(AND(P98&lt;&gt;"Cerrado",OR(G98="Alta",G98="Crítica"),J98=""),"Decidir comunicación a usuarios",IF(AND(P98="Cerrado",M98=""),"Cerrado sin causa raíz","")))</f>
        <v/>
      </c>
      <c r="T98" s="8" t="n"/>
    </row>
    <row r="99">
      <c r="A99" s="8" t="n"/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10">
        <f>IF(OR(B99="",Q99=""),"",Q99-B99)</f>
        <v/>
      </c>
      <c r="S99" s="10">
        <f>IF(A99="","",IF(AND(P99&lt;&gt;"Cerrado",OR(G99="Alta",G99="Crítica"),J99=""),"Decidir comunicación a usuarios",IF(AND(P99="Cerrado",M99=""),"Cerrado sin causa raíz","")))</f>
        <v/>
      </c>
      <c r="T99" s="8" t="n"/>
    </row>
    <row r="100">
      <c r="A100" s="8" t="n"/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10">
        <f>IF(OR(B100="",Q100=""),"",Q100-B100)</f>
        <v/>
      </c>
      <c r="S100" s="10">
        <f>IF(A100="","",IF(AND(P100&lt;&gt;"Cerrado",OR(G100="Alta",G100="Crítica"),J100=""),"Decidir comunicación a usuarios",IF(AND(P100="Cerrado",M100=""),"Cerrado sin causa raíz","")))</f>
        <v/>
      </c>
      <c r="T100" s="8" t="n"/>
    </row>
    <row r="101">
      <c r="A101" s="8" t="n"/>
      <c r="B101" s="9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10">
        <f>IF(OR(B101="",Q101=""),"",Q101-B101)</f>
        <v/>
      </c>
      <c r="S101" s="10">
        <f>IF(A101="","",IF(AND(P101&lt;&gt;"Cerrado",OR(G101="Alta",G101="Crítica"),J101=""),"Decidir comunicación a usuarios",IF(AND(P101="Cerrado",M101=""),"Cerrado sin causa raíz","")))</f>
        <v/>
      </c>
      <c r="T101" s="8" t="n"/>
    </row>
    <row r="102">
      <c r="A102" s="8" t="n"/>
      <c r="B102" s="9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10">
        <f>IF(OR(B102="",Q102=""),"",Q102-B102)</f>
        <v/>
      </c>
      <c r="S102" s="10">
        <f>IF(A102="","",IF(AND(P102&lt;&gt;"Cerrado",OR(G102="Alta",G102="Crítica"),J102=""),"Decidir comunicación a usuarios",IF(AND(P102="Cerrado",M102=""),"Cerrado sin causa raíz","")))</f>
        <v/>
      </c>
      <c r="T102" s="8" t="n"/>
    </row>
    <row r="103">
      <c r="A103" s="8" t="n"/>
      <c r="B103" s="9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10">
        <f>IF(OR(B103="",Q103=""),"",Q103-B103)</f>
        <v/>
      </c>
      <c r="S103" s="10">
        <f>IF(A103="","",IF(AND(P103&lt;&gt;"Cerrado",OR(G103="Alta",G103="Crítica"),J103=""),"Decidir comunicación a usuarios",IF(AND(P103="Cerrado",M103=""),"Cerrado sin causa raíz","")))</f>
        <v/>
      </c>
      <c r="T103" s="8" t="n"/>
    </row>
    <row r="104">
      <c r="A104" s="8" t="n"/>
      <c r="B104" s="9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10">
        <f>IF(OR(B104="",Q104=""),"",Q104-B104)</f>
        <v/>
      </c>
      <c r="S104" s="10">
        <f>IF(A104="","",IF(AND(P104&lt;&gt;"Cerrado",OR(G104="Alta",G104="Crítica"),J104=""),"Decidir comunicación a usuarios",IF(AND(P104="Cerrado",M104=""),"Cerrado sin causa raíz","")))</f>
        <v/>
      </c>
      <c r="T104" s="8" t="n"/>
    </row>
    <row r="105">
      <c r="A105" s="8" t="n"/>
      <c r="B105" s="9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10">
        <f>IF(OR(B105="",Q105=""),"",Q105-B105)</f>
        <v/>
      </c>
      <c r="S105" s="10">
        <f>IF(A105="","",IF(AND(P105&lt;&gt;"Cerrado",OR(G105="Alta",G105="Crítica"),J105=""),"Decidir comunicación a usuarios",IF(AND(P105="Cerrado",M105=""),"Cerrado sin causa raíz","")))</f>
        <v/>
      </c>
      <c r="T105" s="8" t="n"/>
    </row>
    <row r="106">
      <c r="A106" s="8" t="n"/>
      <c r="B106" s="9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10">
        <f>IF(OR(B106="",Q106=""),"",Q106-B106)</f>
        <v/>
      </c>
      <c r="S106" s="10">
        <f>IF(A106="","",IF(AND(P106&lt;&gt;"Cerrado",OR(G106="Alta",G106="Crítica"),J106=""),"Decidir comunicación a usuarios",IF(AND(P106="Cerrado",M106=""),"Cerrado sin causa raíz","")))</f>
        <v/>
      </c>
      <c r="T106" s="8" t="n"/>
    </row>
    <row r="107">
      <c r="A107" s="8" t="n"/>
      <c r="B107" s="9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10">
        <f>IF(OR(B107="",Q107=""),"",Q107-B107)</f>
        <v/>
      </c>
      <c r="S107" s="10">
        <f>IF(A107="","",IF(AND(P107&lt;&gt;"Cerrado",OR(G107="Alta",G107="Crítica"),J107=""),"Decidir comunicación a usuarios",IF(AND(P107="Cerrado",M107=""),"Cerrado sin causa raíz","")))</f>
        <v/>
      </c>
      <c r="T107" s="8" t="n"/>
    </row>
    <row r="108">
      <c r="A108" s="8" t="n"/>
      <c r="B108" s="9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10">
        <f>IF(OR(B108="",Q108=""),"",Q108-B108)</f>
        <v/>
      </c>
      <c r="S108" s="10">
        <f>IF(A108="","",IF(AND(P108&lt;&gt;"Cerrado",OR(G108="Alta",G108="Crítica"),J108=""),"Decidir comunicación a usuarios",IF(AND(P108="Cerrado",M108=""),"Cerrado sin causa raíz","")))</f>
        <v/>
      </c>
      <c r="T108" s="8" t="n"/>
    </row>
    <row r="109">
      <c r="A109" s="8" t="n"/>
      <c r="B109" s="9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10">
        <f>IF(OR(B109="",Q109=""),"",Q109-B109)</f>
        <v/>
      </c>
      <c r="S109" s="10">
        <f>IF(A109="","",IF(AND(P109&lt;&gt;"Cerrado",OR(G109="Alta",G109="Crítica"),J109=""),"Decidir comunicación a usuarios",IF(AND(P109="Cerrado",M109=""),"Cerrado sin causa raíz","")))</f>
        <v/>
      </c>
      <c r="T109" s="8" t="n"/>
    </row>
    <row r="110">
      <c r="A110" s="8" t="n"/>
      <c r="B110" s="9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10">
        <f>IF(OR(B110="",Q110=""),"",Q110-B110)</f>
        <v/>
      </c>
      <c r="S110" s="10">
        <f>IF(A110="","",IF(AND(P110&lt;&gt;"Cerrado",OR(G110="Alta",G110="Crítica"),J110=""),"Decidir comunicación a usuarios",IF(AND(P110="Cerrado",M110=""),"Cerrado sin causa raíz","")))</f>
        <v/>
      </c>
      <c r="T110" s="8" t="n"/>
    </row>
    <row r="111">
      <c r="A111" s="8" t="n"/>
      <c r="B111" s="9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10">
        <f>IF(OR(B111="",Q111=""),"",Q111-B111)</f>
        <v/>
      </c>
      <c r="S111" s="10">
        <f>IF(A111="","",IF(AND(P111&lt;&gt;"Cerrado",OR(G111="Alta",G111="Crítica"),J111=""),"Decidir comunicación a usuarios",IF(AND(P111="Cerrado",M111=""),"Cerrado sin causa raíz","")))</f>
        <v/>
      </c>
      <c r="T111" s="8" t="n"/>
    </row>
    <row r="112">
      <c r="A112" s="8" t="n"/>
      <c r="B112" s="9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10">
        <f>IF(OR(B112="",Q112=""),"",Q112-B112)</f>
        <v/>
      </c>
      <c r="S112" s="10">
        <f>IF(A112="","",IF(AND(P112&lt;&gt;"Cerrado",OR(G112="Alta",G112="Crítica"),J112=""),"Decidir comunicación a usuarios",IF(AND(P112="Cerrado",M112=""),"Cerrado sin causa raíz","")))</f>
        <v/>
      </c>
      <c r="T112" s="8" t="n"/>
    </row>
    <row r="113">
      <c r="A113" s="8" t="n"/>
      <c r="B113" s="9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10">
        <f>IF(OR(B113="",Q113=""),"",Q113-B113)</f>
        <v/>
      </c>
      <c r="S113" s="10">
        <f>IF(A113="","",IF(AND(P113&lt;&gt;"Cerrado",OR(G113="Alta",G113="Crítica"),J113=""),"Decidir comunicación a usuarios",IF(AND(P113="Cerrado",M113=""),"Cerrado sin causa raíz","")))</f>
        <v/>
      </c>
      <c r="T113" s="8" t="n"/>
    </row>
    <row r="114">
      <c r="A114" s="8" t="n"/>
      <c r="B114" s="9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10">
        <f>IF(OR(B114="",Q114=""),"",Q114-B114)</f>
        <v/>
      </c>
      <c r="S114" s="10">
        <f>IF(A114="","",IF(AND(P114&lt;&gt;"Cerrado",OR(G114="Alta",G114="Crítica"),J114=""),"Decidir comunicación a usuarios",IF(AND(P114="Cerrado",M114=""),"Cerrado sin causa raíz","")))</f>
        <v/>
      </c>
      <c r="T114" s="8" t="n"/>
    </row>
    <row r="115">
      <c r="A115" s="8" t="n"/>
      <c r="B115" s="9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10">
        <f>IF(OR(B115="",Q115=""),"",Q115-B115)</f>
        <v/>
      </c>
      <c r="S115" s="10">
        <f>IF(A115="","",IF(AND(P115&lt;&gt;"Cerrado",OR(G115="Alta",G115="Crítica"),J115=""),"Decidir comunicación a usuarios",IF(AND(P115="Cerrado",M115=""),"Cerrado sin causa raíz","")))</f>
        <v/>
      </c>
      <c r="T115" s="8" t="n"/>
    </row>
    <row r="116">
      <c r="A116" s="8" t="n"/>
      <c r="B116" s="9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10">
        <f>IF(OR(B116="",Q116=""),"",Q116-B116)</f>
        <v/>
      </c>
      <c r="S116" s="10">
        <f>IF(A116="","",IF(AND(P116&lt;&gt;"Cerrado",OR(G116="Alta",G116="Crítica"),J116=""),"Decidir comunicación a usuarios",IF(AND(P116="Cerrado",M116=""),"Cerrado sin causa raíz","")))</f>
        <v/>
      </c>
      <c r="T116" s="8" t="n"/>
    </row>
    <row r="117">
      <c r="A117" s="8" t="n"/>
      <c r="B117" s="9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10">
        <f>IF(OR(B117="",Q117=""),"",Q117-B117)</f>
        <v/>
      </c>
      <c r="S117" s="10">
        <f>IF(A117="","",IF(AND(P117&lt;&gt;"Cerrado",OR(G117="Alta",G117="Crítica"),J117=""),"Decidir comunicación a usuarios",IF(AND(P117="Cerrado",M117=""),"Cerrado sin causa raíz","")))</f>
        <v/>
      </c>
      <c r="T117" s="8" t="n"/>
    </row>
    <row r="118">
      <c r="A118" s="8" t="n"/>
      <c r="B118" s="9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10">
        <f>IF(OR(B118="",Q118=""),"",Q118-B118)</f>
        <v/>
      </c>
      <c r="S118" s="10">
        <f>IF(A118="","",IF(AND(P118&lt;&gt;"Cerrado",OR(G118="Alta",G118="Crítica"),J118=""),"Decidir comunicación a usuarios",IF(AND(P118="Cerrado",M118=""),"Cerrado sin causa raíz","")))</f>
        <v/>
      </c>
      <c r="T118" s="8" t="n"/>
    </row>
    <row r="119">
      <c r="A119" s="8" t="n"/>
      <c r="B119" s="9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10">
        <f>IF(OR(B119="",Q119=""),"",Q119-B119)</f>
        <v/>
      </c>
      <c r="S119" s="10">
        <f>IF(A119="","",IF(AND(P119&lt;&gt;"Cerrado",OR(G119="Alta",G119="Crítica"),J119=""),"Decidir comunicación a usuarios",IF(AND(P119="Cerrado",M119=""),"Cerrado sin causa raíz","")))</f>
        <v/>
      </c>
      <c r="T119" s="8" t="n"/>
    </row>
    <row r="120">
      <c r="A120" s="8" t="n"/>
      <c r="B120" s="9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10">
        <f>IF(OR(B120="",Q120=""),"",Q120-B120)</f>
        <v/>
      </c>
      <c r="S120" s="10">
        <f>IF(A120="","",IF(AND(P120&lt;&gt;"Cerrado",OR(G120="Alta",G120="Crítica"),J120=""),"Decidir comunicación a usuarios",IF(AND(P120="Cerrado",M120=""),"Cerrado sin causa raíz","")))</f>
        <v/>
      </c>
      <c r="T120" s="8" t="n"/>
    </row>
    <row r="121">
      <c r="A121" s="8" t="n"/>
      <c r="B121" s="9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10">
        <f>IF(OR(B121="",Q121=""),"",Q121-B121)</f>
        <v/>
      </c>
      <c r="S121" s="10">
        <f>IF(A121="","",IF(AND(P121&lt;&gt;"Cerrado",OR(G121="Alta",G121="Crítica"),J121=""),"Decidir comunicación a usuarios",IF(AND(P121="Cerrado",M121=""),"Cerrado sin causa raíz","")))</f>
        <v/>
      </c>
      <c r="T121" s="8" t="n"/>
    </row>
    <row r="122">
      <c r="A122" s="8" t="n"/>
      <c r="B122" s="9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10">
        <f>IF(OR(B122="",Q122=""),"",Q122-B122)</f>
        <v/>
      </c>
      <c r="S122" s="10">
        <f>IF(A122="","",IF(AND(P122&lt;&gt;"Cerrado",OR(G122="Alta",G122="Crítica"),J122=""),"Decidir comunicación a usuarios",IF(AND(P122="Cerrado",M122=""),"Cerrado sin causa raíz","")))</f>
        <v/>
      </c>
      <c r="T122" s="8" t="n"/>
    </row>
    <row r="123">
      <c r="A123" s="8" t="n"/>
      <c r="B123" s="9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10">
        <f>IF(OR(B123="",Q123=""),"",Q123-B123)</f>
        <v/>
      </c>
      <c r="S123" s="10">
        <f>IF(A123="","",IF(AND(P123&lt;&gt;"Cerrado",OR(G123="Alta",G123="Crítica"),J123=""),"Decidir comunicación a usuarios",IF(AND(P123="Cerrado",M123=""),"Cerrado sin causa raíz","")))</f>
        <v/>
      </c>
      <c r="T123" s="8" t="n"/>
    </row>
    <row r="124">
      <c r="A124" s="8" t="n"/>
      <c r="B124" s="9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10">
        <f>IF(OR(B124="",Q124=""),"",Q124-B124)</f>
        <v/>
      </c>
      <c r="S124" s="10">
        <f>IF(A124="","",IF(AND(P124&lt;&gt;"Cerrado",OR(G124="Alta",G124="Crítica"),J124=""),"Decidir comunicación a usuarios",IF(AND(P124="Cerrado",M124=""),"Cerrado sin causa raíz","")))</f>
        <v/>
      </c>
      <c r="T124" s="8" t="n"/>
    </row>
    <row r="125">
      <c r="A125" s="8" t="n"/>
      <c r="B125" s="9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10">
        <f>IF(OR(B125="",Q125=""),"",Q125-B125)</f>
        <v/>
      </c>
      <c r="S125" s="10">
        <f>IF(A125="","",IF(AND(P125&lt;&gt;"Cerrado",OR(G125="Alta",G125="Crítica"),J125=""),"Decidir comunicación a usuarios",IF(AND(P125="Cerrado",M125=""),"Cerrado sin causa raíz","")))</f>
        <v/>
      </c>
      <c r="T125" s="8" t="n"/>
    </row>
    <row r="126">
      <c r="A126" s="8" t="n"/>
      <c r="B126" s="9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10">
        <f>IF(OR(B126="",Q126=""),"",Q126-B126)</f>
        <v/>
      </c>
      <c r="S126" s="10">
        <f>IF(A126="","",IF(AND(P126&lt;&gt;"Cerrado",OR(G126="Alta",G126="Crítica"),J126=""),"Decidir comunicación a usuarios",IF(AND(P126="Cerrado",M126=""),"Cerrado sin causa raíz","")))</f>
        <v/>
      </c>
      <c r="T126" s="8" t="n"/>
    </row>
    <row r="127">
      <c r="A127" s="8" t="n"/>
      <c r="B127" s="9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10">
        <f>IF(OR(B127="",Q127=""),"",Q127-B127)</f>
        <v/>
      </c>
      <c r="S127" s="10">
        <f>IF(A127="","",IF(AND(P127&lt;&gt;"Cerrado",OR(G127="Alta",G127="Crítica"),J127=""),"Decidir comunicación a usuarios",IF(AND(P127="Cerrado",M127=""),"Cerrado sin causa raíz","")))</f>
        <v/>
      </c>
      <c r="T127" s="8" t="n"/>
    </row>
    <row r="128">
      <c r="A128" s="8" t="n"/>
      <c r="B128" s="9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10">
        <f>IF(OR(B128="",Q128=""),"",Q128-B128)</f>
        <v/>
      </c>
      <c r="S128" s="10">
        <f>IF(A128="","",IF(AND(P128&lt;&gt;"Cerrado",OR(G128="Alta",G128="Crítica"),J128=""),"Decidir comunicación a usuarios",IF(AND(P128="Cerrado",M128=""),"Cerrado sin causa raíz","")))</f>
        <v/>
      </c>
      <c r="T128" s="8" t="n"/>
    </row>
    <row r="129">
      <c r="A129" s="8" t="n"/>
      <c r="B129" s="9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10">
        <f>IF(OR(B129="",Q129=""),"",Q129-B129)</f>
        <v/>
      </c>
      <c r="S129" s="10">
        <f>IF(A129="","",IF(AND(P129&lt;&gt;"Cerrado",OR(G129="Alta",G129="Crítica"),J129=""),"Decidir comunicación a usuarios",IF(AND(P129="Cerrado",M129=""),"Cerrado sin causa raíz","")))</f>
        <v/>
      </c>
      <c r="T129" s="8" t="n"/>
    </row>
    <row r="130">
      <c r="A130" s="8" t="n"/>
      <c r="B130" s="9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10">
        <f>IF(OR(B130="",Q130=""),"",Q130-B130)</f>
        <v/>
      </c>
      <c r="S130" s="10">
        <f>IF(A130="","",IF(AND(P130&lt;&gt;"Cerrado",OR(G130="Alta",G130="Crítica"),J130=""),"Decidir comunicación a usuarios",IF(AND(P130="Cerrado",M130=""),"Cerrado sin causa raíz","")))</f>
        <v/>
      </c>
      <c r="T130" s="8" t="n"/>
    </row>
    <row r="131">
      <c r="A131" s="8" t="n"/>
      <c r="B131" s="9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10">
        <f>IF(OR(B131="",Q131=""),"",Q131-B131)</f>
        <v/>
      </c>
      <c r="S131" s="10">
        <f>IF(A131="","",IF(AND(P131&lt;&gt;"Cerrado",OR(G131="Alta",G131="Crítica"),J131=""),"Decidir comunicación a usuarios",IF(AND(P131="Cerrado",M131=""),"Cerrado sin causa raíz","")))</f>
        <v/>
      </c>
      <c r="T131" s="8" t="n"/>
    </row>
    <row r="132">
      <c r="A132" s="8" t="n"/>
      <c r="B132" s="9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10">
        <f>IF(OR(B132="",Q132=""),"",Q132-B132)</f>
        <v/>
      </c>
      <c r="S132" s="10">
        <f>IF(A132="","",IF(AND(P132&lt;&gt;"Cerrado",OR(G132="Alta",G132="Crítica"),J132=""),"Decidir comunicación a usuarios",IF(AND(P132="Cerrado",M132=""),"Cerrado sin causa raíz","")))</f>
        <v/>
      </c>
      <c r="T132" s="8" t="n"/>
    </row>
    <row r="133">
      <c r="A133" s="8" t="n"/>
      <c r="B133" s="9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10">
        <f>IF(OR(B133="",Q133=""),"",Q133-B133)</f>
        <v/>
      </c>
      <c r="S133" s="10">
        <f>IF(A133="","",IF(AND(P133&lt;&gt;"Cerrado",OR(G133="Alta",G133="Crítica"),J133=""),"Decidir comunicación a usuarios",IF(AND(P133="Cerrado",M133=""),"Cerrado sin causa raíz","")))</f>
        <v/>
      </c>
      <c r="T133" s="8" t="n"/>
    </row>
    <row r="134">
      <c r="A134" s="8" t="n"/>
      <c r="B134" s="9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10">
        <f>IF(OR(B134="",Q134=""),"",Q134-B134)</f>
        <v/>
      </c>
      <c r="S134" s="10">
        <f>IF(A134="","",IF(AND(P134&lt;&gt;"Cerrado",OR(G134="Alta",G134="Crítica"),J134=""),"Decidir comunicación a usuarios",IF(AND(P134="Cerrado",M134=""),"Cerrado sin causa raíz","")))</f>
        <v/>
      </c>
      <c r="T134" s="8" t="n"/>
    </row>
    <row r="135">
      <c r="A135" s="8" t="n"/>
      <c r="B135" s="9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10">
        <f>IF(OR(B135="",Q135=""),"",Q135-B135)</f>
        <v/>
      </c>
      <c r="S135" s="10">
        <f>IF(A135="","",IF(AND(P135&lt;&gt;"Cerrado",OR(G135="Alta",G135="Crítica"),J135=""),"Decidir comunicación a usuarios",IF(AND(P135="Cerrado",M135=""),"Cerrado sin causa raíz","")))</f>
        <v/>
      </c>
      <c r="T135" s="8" t="n"/>
    </row>
    <row r="136">
      <c r="A136" s="8" t="n"/>
      <c r="B136" s="9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10">
        <f>IF(OR(B136="",Q136=""),"",Q136-B136)</f>
        <v/>
      </c>
      <c r="S136" s="10">
        <f>IF(A136="","",IF(AND(P136&lt;&gt;"Cerrado",OR(G136="Alta",G136="Crítica"),J136=""),"Decidir comunicación a usuarios",IF(AND(P136="Cerrado",M136=""),"Cerrado sin causa raíz","")))</f>
        <v/>
      </c>
      <c r="T136" s="8" t="n"/>
    </row>
    <row r="137">
      <c r="A137" s="8" t="n"/>
      <c r="B137" s="9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10">
        <f>IF(OR(B137="",Q137=""),"",Q137-B137)</f>
        <v/>
      </c>
      <c r="S137" s="10">
        <f>IF(A137="","",IF(AND(P137&lt;&gt;"Cerrado",OR(G137="Alta",G137="Crítica"),J137=""),"Decidir comunicación a usuarios",IF(AND(P137="Cerrado",M137=""),"Cerrado sin causa raíz","")))</f>
        <v/>
      </c>
      <c r="T137" s="8" t="n"/>
    </row>
    <row r="138">
      <c r="A138" s="8" t="n"/>
      <c r="B138" s="9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10">
        <f>IF(OR(B138="",Q138=""),"",Q138-B138)</f>
        <v/>
      </c>
      <c r="S138" s="10">
        <f>IF(A138="","",IF(AND(P138&lt;&gt;"Cerrado",OR(G138="Alta",G138="Crítica"),J138=""),"Decidir comunicación a usuarios",IF(AND(P138="Cerrado",M138=""),"Cerrado sin causa raíz","")))</f>
        <v/>
      </c>
      <c r="T138" s="8" t="n"/>
    </row>
    <row r="139">
      <c r="A139" s="8" t="n"/>
      <c r="B139" s="9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10">
        <f>IF(OR(B139="",Q139=""),"",Q139-B139)</f>
        <v/>
      </c>
      <c r="S139" s="10">
        <f>IF(A139="","",IF(AND(P139&lt;&gt;"Cerrado",OR(G139="Alta",G139="Crítica"),J139=""),"Decidir comunicación a usuarios",IF(AND(P139="Cerrado",M139=""),"Cerrado sin causa raíz","")))</f>
        <v/>
      </c>
      <c r="T139" s="8" t="n"/>
    </row>
    <row r="140">
      <c r="A140" s="8" t="n"/>
      <c r="B140" s="9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10">
        <f>IF(OR(B140="",Q140=""),"",Q140-B140)</f>
        <v/>
      </c>
      <c r="S140" s="10">
        <f>IF(A140="","",IF(AND(P140&lt;&gt;"Cerrado",OR(G140="Alta",G140="Crítica"),J140=""),"Decidir comunicación a usuarios",IF(AND(P140="Cerrado",M140=""),"Cerrado sin causa raíz","")))</f>
        <v/>
      </c>
      <c r="T140" s="8" t="n"/>
    </row>
    <row r="141">
      <c r="A141" s="8" t="n"/>
      <c r="B141" s="9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10">
        <f>IF(OR(B141="",Q141=""),"",Q141-B141)</f>
        <v/>
      </c>
      <c r="S141" s="10">
        <f>IF(A141="","",IF(AND(P141&lt;&gt;"Cerrado",OR(G141="Alta",G141="Crítica"),J141=""),"Decidir comunicación a usuarios",IF(AND(P141="Cerrado",M141=""),"Cerrado sin causa raíz","")))</f>
        <v/>
      </c>
      <c r="T141" s="8" t="n"/>
    </row>
    <row r="142">
      <c r="A142" s="8" t="n"/>
      <c r="B142" s="9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10">
        <f>IF(OR(B142="",Q142=""),"",Q142-B142)</f>
        <v/>
      </c>
      <c r="S142" s="10">
        <f>IF(A142="","",IF(AND(P142&lt;&gt;"Cerrado",OR(G142="Alta",G142="Crítica"),J142=""),"Decidir comunicación a usuarios",IF(AND(P142="Cerrado",M142=""),"Cerrado sin causa raíz","")))</f>
        <v/>
      </c>
      <c r="T142" s="8" t="n"/>
    </row>
    <row r="143">
      <c r="A143" s="8" t="n"/>
      <c r="B143" s="9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10">
        <f>IF(OR(B143="",Q143=""),"",Q143-B143)</f>
        <v/>
      </c>
      <c r="S143" s="10">
        <f>IF(A143="","",IF(AND(P143&lt;&gt;"Cerrado",OR(G143="Alta",G143="Crítica"),J143=""),"Decidir comunicación a usuarios",IF(AND(P143="Cerrado",M143=""),"Cerrado sin causa raíz","")))</f>
        <v/>
      </c>
      <c r="T143" s="8" t="n"/>
    </row>
    <row r="144">
      <c r="A144" s="8" t="n"/>
      <c r="B144" s="9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10">
        <f>IF(OR(B144="",Q144=""),"",Q144-B144)</f>
        <v/>
      </c>
      <c r="S144" s="10">
        <f>IF(A144="","",IF(AND(P144&lt;&gt;"Cerrado",OR(G144="Alta",G144="Crítica"),J144=""),"Decidir comunicación a usuarios",IF(AND(P144="Cerrado",M144=""),"Cerrado sin causa raíz","")))</f>
        <v/>
      </c>
      <c r="T144" s="8" t="n"/>
    </row>
    <row r="145">
      <c r="A145" s="8" t="n"/>
      <c r="B145" s="9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10">
        <f>IF(OR(B145="",Q145=""),"",Q145-B145)</f>
        <v/>
      </c>
      <c r="S145" s="10">
        <f>IF(A145="","",IF(AND(P145&lt;&gt;"Cerrado",OR(G145="Alta",G145="Crítica"),J145=""),"Decidir comunicación a usuarios",IF(AND(P145="Cerrado",M145=""),"Cerrado sin causa raíz","")))</f>
        <v/>
      </c>
      <c r="T145" s="8" t="n"/>
    </row>
    <row r="146">
      <c r="A146" s="8" t="n"/>
      <c r="B146" s="9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10">
        <f>IF(OR(B146="",Q146=""),"",Q146-B146)</f>
        <v/>
      </c>
      <c r="S146" s="10">
        <f>IF(A146="","",IF(AND(P146&lt;&gt;"Cerrado",OR(G146="Alta",G146="Crítica"),J146=""),"Decidir comunicación a usuarios",IF(AND(P146="Cerrado",M146=""),"Cerrado sin causa raíz","")))</f>
        <v/>
      </c>
      <c r="T146" s="8" t="n"/>
    </row>
    <row r="147">
      <c r="A147" s="8" t="n"/>
      <c r="B147" s="9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10">
        <f>IF(OR(B147="",Q147=""),"",Q147-B147)</f>
        <v/>
      </c>
      <c r="S147" s="10">
        <f>IF(A147="","",IF(AND(P147&lt;&gt;"Cerrado",OR(G147="Alta",G147="Crítica"),J147=""),"Decidir comunicación a usuarios",IF(AND(P147="Cerrado",M147=""),"Cerrado sin causa raíz","")))</f>
        <v/>
      </c>
      <c r="T147" s="8" t="n"/>
    </row>
    <row r="148">
      <c r="A148" s="8" t="n"/>
      <c r="B148" s="9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10">
        <f>IF(OR(B148="",Q148=""),"",Q148-B148)</f>
        <v/>
      </c>
      <c r="S148" s="10">
        <f>IF(A148="","",IF(AND(P148&lt;&gt;"Cerrado",OR(G148="Alta",G148="Crítica"),J148=""),"Decidir comunicación a usuarios",IF(AND(P148="Cerrado",M148=""),"Cerrado sin causa raíz","")))</f>
        <v/>
      </c>
      <c r="T148" s="8" t="n"/>
    </row>
    <row r="149">
      <c r="A149" s="8" t="n"/>
      <c r="B149" s="9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10">
        <f>IF(OR(B149="",Q149=""),"",Q149-B149)</f>
        <v/>
      </c>
      <c r="S149" s="10">
        <f>IF(A149="","",IF(AND(P149&lt;&gt;"Cerrado",OR(G149="Alta",G149="Crítica"),J149=""),"Decidir comunicación a usuarios",IF(AND(P149="Cerrado",M149=""),"Cerrado sin causa raíz","")))</f>
        <v/>
      </c>
      <c r="T149" s="8" t="n"/>
    </row>
    <row r="150">
      <c r="A150" s="8" t="n"/>
      <c r="B150" s="9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10">
        <f>IF(OR(B150="",Q150=""),"",Q150-B150)</f>
        <v/>
      </c>
      <c r="S150" s="10">
        <f>IF(A150="","",IF(AND(P150&lt;&gt;"Cerrado",OR(G150="Alta",G150="Crítica"),J150=""),"Decidir comunicación a usuarios",IF(AND(P150="Cerrado",M150=""),"Cerrado sin causa raíz","")))</f>
        <v/>
      </c>
      <c r="T150" s="8" t="n"/>
    </row>
    <row r="151">
      <c r="A151" s="8" t="n"/>
      <c r="B151" s="9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10">
        <f>IF(OR(B151="",Q151=""),"",Q151-B151)</f>
        <v/>
      </c>
      <c r="S151" s="10">
        <f>IF(A151="","",IF(AND(P151&lt;&gt;"Cerrado",OR(G151="Alta",G151="Crítica"),J151=""),"Decidir comunicación a usuarios",IF(AND(P151="Cerrado",M151=""),"Cerrado sin causa raíz","")))</f>
        <v/>
      </c>
      <c r="T151" s="8" t="n"/>
    </row>
    <row r="152">
      <c r="A152" s="8" t="n"/>
      <c r="B152" s="9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10">
        <f>IF(OR(B152="",Q152=""),"",Q152-B152)</f>
        <v/>
      </c>
      <c r="S152" s="10">
        <f>IF(A152="","",IF(AND(P152&lt;&gt;"Cerrado",OR(G152="Alta",G152="Crítica"),J152=""),"Decidir comunicación a usuarios",IF(AND(P152="Cerrado",M152=""),"Cerrado sin causa raíz","")))</f>
        <v/>
      </c>
      <c r="T152" s="8" t="n"/>
    </row>
    <row r="153">
      <c r="A153" s="8" t="n"/>
      <c r="B153" s="9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10">
        <f>IF(OR(B153="",Q153=""),"",Q153-B153)</f>
        <v/>
      </c>
      <c r="S153" s="10">
        <f>IF(A153="","",IF(AND(P153&lt;&gt;"Cerrado",OR(G153="Alta",G153="Crítica"),J153=""),"Decidir comunicación a usuarios",IF(AND(P153="Cerrado",M153=""),"Cerrado sin causa raíz","")))</f>
        <v/>
      </c>
      <c r="T153" s="8" t="n"/>
    </row>
    <row r="154">
      <c r="A154" s="8" t="n"/>
      <c r="B154" s="9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10">
        <f>IF(OR(B154="",Q154=""),"",Q154-B154)</f>
        <v/>
      </c>
      <c r="S154" s="10">
        <f>IF(A154="","",IF(AND(P154&lt;&gt;"Cerrado",OR(G154="Alta",G154="Crítica"),J154=""),"Decidir comunicación a usuarios",IF(AND(P154="Cerrado",M154=""),"Cerrado sin causa raíz","")))</f>
        <v/>
      </c>
      <c r="T154" s="8" t="n"/>
    </row>
    <row r="155">
      <c r="A155" s="8" t="n"/>
      <c r="B155" s="9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10">
        <f>IF(OR(B155="",Q155=""),"",Q155-B155)</f>
        <v/>
      </c>
      <c r="S155" s="10">
        <f>IF(A155="","",IF(AND(P155&lt;&gt;"Cerrado",OR(G155="Alta",G155="Crítica"),J155=""),"Decidir comunicación a usuarios",IF(AND(P155="Cerrado",M155=""),"Cerrado sin causa raíz","")))</f>
        <v/>
      </c>
      <c r="T155" s="8" t="n"/>
    </row>
    <row r="156">
      <c r="A156" s="8" t="n"/>
      <c r="B156" s="9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10">
        <f>IF(OR(B156="",Q156=""),"",Q156-B156)</f>
        <v/>
      </c>
      <c r="S156" s="10">
        <f>IF(A156="","",IF(AND(P156&lt;&gt;"Cerrado",OR(G156="Alta",G156="Crítica"),J156=""),"Decidir comunicación a usuarios",IF(AND(P156="Cerrado",M156=""),"Cerrado sin causa raíz","")))</f>
        <v/>
      </c>
      <c r="T156" s="8" t="n"/>
    </row>
    <row r="157">
      <c r="A157" s="8" t="n"/>
      <c r="B157" s="9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10">
        <f>IF(OR(B157="",Q157=""),"",Q157-B157)</f>
        <v/>
      </c>
      <c r="S157" s="10">
        <f>IF(A157="","",IF(AND(P157&lt;&gt;"Cerrado",OR(G157="Alta",G157="Crítica"),J157=""),"Decidir comunicación a usuarios",IF(AND(P157="Cerrado",M157=""),"Cerrado sin causa raíz","")))</f>
        <v/>
      </c>
      <c r="T157" s="8" t="n"/>
    </row>
    <row r="158">
      <c r="A158" s="8" t="n"/>
      <c r="B158" s="9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10">
        <f>IF(OR(B158="",Q158=""),"",Q158-B158)</f>
        <v/>
      </c>
      <c r="S158" s="10">
        <f>IF(A158="","",IF(AND(P158&lt;&gt;"Cerrado",OR(G158="Alta",G158="Crítica"),J158=""),"Decidir comunicación a usuarios",IF(AND(P158="Cerrado",M158=""),"Cerrado sin causa raíz","")))</f>
        <v/>
      </c>
      <c r="T158" s="8" t="n"/>
    </row>
    <row r="159">
      <c r="A159" s="8" t="n"/>
      <c r="B159" s="9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10">
        <f>IF(OR(B159="",Q159=""),"",Q159-B159)</f>
        <v/>
      </c>
      <c r="S159" s="10">
        <f>IF(A159="","",IF(AND(P159&lt;&gt;"Cerrado",OR(G159="Alta",G159="Crítica"),J159=""),"Decidir comunicación a usuarios",IF(AND(P159="Cerrado",M159=""),"Cerrado sin causa raíz","")))</f>
        <v/>
      </c>
      <c r="T159" s="8" t="n"/>
    </row>
    <row r="160">
      <c r="A160" s="8" t="n"/>
      <c r="B160" s="9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10">
        <f>IF(OR(B160="",Q160=""),"",Q160-B160)</f>
        <v/>
      </c>
      <c r="S160" s="10">
        <f>IF(A160="","",IF(AND(P160&lt;&gt;"Cerrado",OR(G160="Alta",G160="Crítica"),J160=""),"Decidir comunicación a usuarios",IF(AND(P160="Cerrado",M160=""),"Cerrado sin causa raíz","")))</f>
        <v/>
      </c>
      <c r="T160" s="8" t="n"/>
    </row>
    <row r="161">
      <c r="A161" s="8" t="n"/>
      <c r="B161" s="9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10">
        <f>IF(OR(B161="",Q161=""),"",Q161-B161)</f>
        <v/>
      </c>
      <c r="S161" s="10">
        <f>IF(A161="","",IF(AND(P161&lt;&gt;"Cerrado",OR(G161="Alta",G161="Crítica"),J161=""),"Decidir comunicación a usuarios",IF(AND(P161="Cerrado",M161=""),"Cerrado sin causa raíz","")))</f>
        <v/>
      </c>
      <c r="T161" s="8" t="n"/>
    </row>
    <row r="162">
      <c r="A162" s="8" t="n"/>
      <c r="B162" s="9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10">
        <f>IF(OR(B162="",Q162=""),"",Q162-B162)</f>
        <v/>
      </c>
      <c r="S162" s="10">
        <f>IF(A162="","",IF(AND(P162&lt;&gt;"Cerrado",OR(G162="Alta",G162="Crítica"),J162=""),"Decidir comunicación a usuarios",IF(AND(P162="Cerrado",M162=""),"Cerrado sin causa raíz","")))</f>
        <v/>
      </c>
      <c r="T162" s="8" t="n"/>
    </row>
    <row r="163">
      <c r="A163" s="8" t="n"/>
      <c r="B163" s="9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10">
        <f>IF(OR(B163="",Q163=""),"",Q163-B163)</f>
        <v/>
      </c>
      <c r="S163" s="10">
        <f>IF(A163="","",IF(AND(P163&lt;&gt;"Cerrado",OR(G163="Alta",G163="Crítica"),J163=""),"Decidir comunicación a usuarios",IF(AND(P163="Cerrado",M163=""),"Cerrado sin causa raíz","")))</f>
        <v/>
      </c>
      <c r="T163" s="8" t="n"/>
    </row>
    <row r="164">
      <c r="A164" s="8" t="n"/>
      <c r="B164" s="9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10">
        <f>IF(OR(B164="",Q164=""),"",Q164-B164)</f>
        <v/>
      </c>
      <c r="S164" s="10">
        <f>IF(A164="","",IF(AND(P164&lt;&gt;"Cerrado",OR(G164="Alta",G164="Crítica"),J164=""),"Decidir comunicación a usuarios",IF(AND(P164="Cerrado",M164=""),"Cerrado sin causa raíz","")))</f>
        <v/>
      </c>
      <c r="T164" s="8" t="n"/>
    </row>
    <row r="165">
      <c r="A165" s="8" t="n"/>
      <c r="B165" s="9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10">
        <f>IF(OR(B165="",Q165=""),"",Q165-B165)</f>
        <v/>
      </c>
      <c r="S165" s="10">
        <f>IF(A165="","",IF(AND(P165&lt;&gt;"Cerrado",OR(G165="Alta",G165="Crítica"),J165=""),"Decidir comunicación a usuarios",IF(AND(P165="Cerrado",M165=""),"Cerrado sin causa raíz","")))</f>
        <v/>
      </c>
      <c r="T165" s="8" t="n"/>
    </row>
    <row r="166">
      <c r="A166" s="8" t="n"/>
      <c r="B166" s="9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10">
        <f>IF(OR(B166="",Q166=""),"",Q166-B166)</f>
        <v/>
      </c>
      <c r="S166" s="10">
        <f>IF(A166="","",IF(AND(P166&lt;&gt;"Cerrado",OR(G166="Alta",G166="Crítica"),J166=""),"Decidir comunicación a usuarios",IF(AND(P166="Cerrado",M166=""),"Cerrado sin causa raíz","")))</f>
        <v/>
      </c>
      <c r="T166" s="8" t="n"/>
    </row>
    <row r="167">
      <c r="A167" s="8" t="n"/>
      <c r="B167" s="9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10">
        <f>IF(OR(B167="",Q167=""),"",Q167-B167)</f>
        <v/>
      </c>
      <c r="S167" s="10">
        <f>IF(A167="","",IF(AND(P167&lt;&gt;"Cerrado",OR(G167="Alta",G167="Crítica"),J167=""),"Decidir comunicación a usuarios",IF(AND(P167="Cerrado",M167=""),"Cerrado sin causa raíz","")))</f>
        <v/>
      </c>
      <c r="T167" s="8" t="n"/>
    </row>
    <row r="168">
      <c r="A168" s="8" t="n"/>
      <c r="B168" s="9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10">
        <f>IF(OR(B168="",Q168=""),"",Q168-B168)</f>
        <v/>
      </c>
      <c r="S168" s="10">
        <f>IF(A168="","",IF(AND(P168&lt;&gt;"Cerrado",OR(G168="Alta",G168="Crítica"),J168=""),"Decidir comunicación a usuarios",IF(AND(P168="Cerrado",M168=""),"Cerrado sin causa raíz","")))</f>
        <v/>
      </c>
      <c r="T168" s="8" t="n"/>
    </row>
    <row r="169">
      <c r="A169" s="8" t="n"/>
      <c r="B169" s="9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10">
        <f>IF(OR(B169="",Q169=""),"",Q169-B169)</f>
        <v/>
      </c>
      <c r="S169" s="10">
        <f>IF(A169="","",IF(AND(P169&lt;&gt;"Cerrado",OR(G169="Alta",G169="Crítica"),J169=""),"Decidir comunicación a usuarios",IF(AND(P169="Cerrado",M169=""),"Cerrado sin causa raíz","")))</f>
        <v/>
      </c>
      <c r="T169" s="8" t="n"/>
    </row>
    <row r="170">
      <c r="A170" s="8" t="n"/>
      <c r="B170" s="9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10">
        <f>IF(OR(B170="",Q170=""),"",Q170-B170)</f>
        <v/>
      </c>
      <c r="S170" s="10">
        <f>IF(A170="","",IF(AND(P170&lt;&gt;"Cerrado",OR(G170="Alta",G170="Crítica"),J170=""),"Decidir comunicación a usuarios",IF(AND(P170="Cerrado",M170=""),"Cerrado sin causa raíz","")))</f>
        <v/>
      </c>
      <c r="T170" s="8" t="n"/>
    </row>
    <row r="171">
      <c r="A171" s="8" t="n"/>
      <c r="B171" s="9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10">
        <f>IF(OR(B171="",Q171=""),"",Q171-B171)</f>
        <v/>
      </c>
      <c r="S171" s="10">
        <f>IF(A171="","",IF(AND(P171&lt;&gt;"Cerrado",OR(G171="Alta",G171="Crítica"),J171=""),"Decidir comunicación a usuarios",IF(AND(P171="Cerrado",M171=""),"Cerrado sin causa raíz","")))</f>
        <v/>
      </c>
      <c r="T171" s="8" t="n"/>
    </row>
    <row r="172">
      <c r="A172" s="8" t="n"/>
      <c r="B172" s="9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10">
        <f>IF(OR(B172="",Q172=""),"",Q172-B172)</f>
        <v/>
      </c>
      <c r="S172" s="10">
        <f>IF(A172="","",IF(AND(P172&lt;&gt;"Cerrado",OR(G172="Alta",G172="Crítica"),J172=""),"Decidir comunicación a usuarios",IF(AND(P172="Cerrado",M172=""),"Cerrado sin causa raíz","")))</f>
        <v/>
      </c>
      <c r="T172" s="8" t="n"/>
    </row>
    <row r="173">
      <c r="A173" s="8" t="n"/>
      <c r="B173" s="9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10">
        <f>IF(OR(B173="",Q173=""),"",Q173-B173)</f>
        <v/>
      </c>
      <c r="S173" s="10">
        <f>IF(A173="","",IF(AND(P173&lt;&gt;"Cerrado",OR(G173="Alta",G173="Crítica"),J173=""),"Decidir comunicación a usuarios",IF(AND(P173="Cerrado",M173=""),"Cerrado sin causa raíz","")))</f>
        <v/>
      </c>
      <c r="T173" s="8" t="n"/>
    </row>
    <row r="174">
      <c r="A174" s="8" t="n"/>
      <c r="B174" s="9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10">
        <f>IF(OR(B174="",Q174=""),"",Q174-B174)</f>
        <v/>
      </c>
      <c r="S174" s="10">
        <f>IF(A174="","",IF(AND(P174&lt;&gt;"Cerrado",OR(G174="Alta",G174="Crítica"),J174=""),"Decidir comunicación a usuarios",IF(AND(P174="Cerrado",M174=""),"Cerrado sin causa raíz","")))</f>
        <v/>
      </c>
      <c r="T174" s="8" t="n"/>
    </row>
    <row r="175">
      <c r="A175" s="8" t="n"/>
      <c r="B175" s="9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10">
        <f>IF(OR(B175="",Q175=""),"",Q175-B175)</f>
        <v/>
      </c>
      <c r="S175" s="10">
        <f>IF(A175="","",IF(AND(P175&lt;&gt;"Cerrado",OR(G175="Alta",G175="Crítica"),J175=""),"Decidir comunicación a usuarios",IF(AND(P175="Cerrado",M175=""),"Cerrado sin causa raíz","")))</f>
        <v/>
      </c>
      <c r="T175" s="8" t="n"/>
    </row>
    <row r="176">
      <c r="A176" s="8" t="n"/>
      <c r="B176" s="9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10">
        <f>IF(OR(B176="",Q176=""),"",Q176-B176)</f>
        <v/>
      </c>
      <c r="S176" s="10">
        <f>IF(A176="","",IF(AND(P176&lt;&gt;"Cerrado",OR(G176="Alta",G176="Crítica"),J176=""),"Decidir comunicación a usuarios",IF(AND(P176="Cerrado",M176=""),"Cerrado sin causa raíz","")))</f>
        <v/>
      </c>
      <c r="T176" s="8" t="n"/>
    </row>
    <row r="177">
      <c r="A177" s="8" t="n"/>
      <c r="B177" s="9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10">
        <f>IF(OR(B177="",Q177=""),"",Q177-B177)</f>
        <v/>
      </c>
      <c r="S177" s="10">
        <f>IF(A177="","",IF(AND(P177&lt;&gt;"Cerrado",OR(G177="Alta",G177="Crítica"),J177=""),"Decidir comunicación a usuarios",IF(AND(P177="Cerrado",M177=""),"Cerrado sin causa raíz","")))</f>
        <v/>
      </c>
      <c r="T177" s="8" t="n"/>
    </row>
    <row r="178">
      <c r="A178" s="8" t="n"/>
      <c r="B178" s="9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10">
        <f>IF(OR(B178="",Q178=""),"",Q178-B178)</f>
        <v/>
      </c>
      <c r="S178" s="10">
        <f>IF(A178="","",IF(AND(P178&lt;&gt;"Cerrado",OR(G178="Alta",G178="Crítica"),J178=""),"Decidir comunicación a usuarios",IF(AND(P178="Cerrado",M178=""),"Cerrado sin causa raíz","")))</f>
        <v/>
      </c>
      <c r="T178" s="8" t="n"/>
    </row>
    <row r="179">
      <c r="A179" s="8" t="n"/>
      <c r="B179" s="9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10">
        <f>IF(OR(B179="",Q179=""),"",Q179-B179)</f>
        <v/>
      </c>
      <c r="S179" s="10">
        <f>IF(A179="","",IF(AND(P179&lt;&gt;"Cerrado",OR(G179="Alta",G179="Crítica"),J179=""),"Decidir comunicación a usuarios",IF(AND(P179="Cerrado",M179=""),"Cerrado sin causa raíz","")))</f>
        <v/>
      </c>
      <c r="T179" s="8" t="n"/>
    </row>
    <row r="180">
      <c r="A180" s="8" t="n"/>
      <c r="B180" s="9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10">
        <f>IF(OR(B180="",Q180=""),"",Q180-B180)</f>
        <v/>
      </c>
      <c r="S180" s="10">
        <f>IF(A180="","",IF(AND(P180&lt;&gt;"Cerrado",OR(G180="Alta",G180="Crítica"),J180=""),"Decidir comunicación a usuarios",IF(AND(P180="Cerrado",M180=""),"Cerrado sin causa raíz","")))</f>
        <v/>
      </c>
      <c r="T180" s="8" t="n"/>
    </row>
    <row r="181">
      <c r="A181" s="8" t="n"/>
      <c r="B181" s="9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10">
        <f>IF(OR(B181="",Q181=""),"",Q181-B181)</f>
        <v/>
      </c>
      <c r="S181" s="10">
        <f>IF(A181="","",IF(AND(P181&lt;&gt;"Cerrado",OR(G181="Alta",G181="Crítica"),J181=""),"Decidir comunicación a usuarios",IF(AND(P181="Cerrado",M181=""),"Cerrado sin causa raíz","")))</f>
        <v/>
      </c>
      <c r="T181" s="8" t="n"/>
    </row>
    <row r="182">
      <c r="A182" s="8" t="n"/>
      <c r="B182" s="9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10">
        <f>IF(OR(B182="",Q182=""),"",Q182-B182)</f>
        <v/>
      </c>
      <c r="S182" s="10">
        <f>IF(A182="","",IF(AND(P182&lt;&gt;"Cerrado",OR(G182="Alta",G182="Crítica"),J182=""),"Decidir comunicación a usuarios",IF(AND(P182="Cerrado",M182=""),"Cerrado sin causa raíz","")))</f>
        <v/>
      </c>
      <c r="T182" s="8" t="n"/>
    </row>
    <row r="183">
      <c r="A183" s="8" t="n"/>
      <c r="B183" s="9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10">
        <f>IF(OR(B183="",Q183=""),"",Q183-B183)</f>
        <v/>
      </c>
      <c r="S183" s="10">
        <f>IF(A183="","",IF(AND(P183&lt;&gt;"Cerrado",OR(G183="Alta",G183="Crítica"),J183=""),"Decidir comunicación a usuarios",IF(AND(P183="Cerrado",M183=""),"Cerrado sin causa raíz","")))</f>
        <v/>
      </c>
      <c r="T183" s="8" t="n"/>
    </row>
    <row r="184">
      <c r="A184" s="8" t="n"/>
      <c r="B184" s="9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10">
        <f>IF(OR(B184="",Q184=""),"",Q184-B184)</f>
        <v/>
      </c>
      <c r="S184" s="10">
        <f>IF(A184="","",IF(AND(P184&lt;&gt;"Cerrado",OR(G184="Alta",G184="Crítica"),J184=""),"Decidir comunicación a usuarios",IF(AND(P184="Cerrado",M184=""),"Cerrado sin causa raíz","")))</f>
        <v/>
      </c>
      <c r="T184" s="8" t="n"/>
    </row>
    <row r="185">
      <c r="A185" s="8" t="n"/>
      <c r="B185" s="9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10">
        <f>IF(OR(B185="",Q185=""),"",Q185-B185)</f>
        <v/>
      </c>
      <c r="S185" s="10">
        <f>IF(A185="","",IF(AND(P185&lt;&gt;"Cerrado",OR(G185="Alta",G185="Crítica"),J185=""),"Decidir comunicación a usuarios",IF(AND(P185="Cerrado",M185=""),"Cerrado sin causa raíz","")))</f>
        <v/>
      </c>
      <c r="T185" s="8" t="n"/>
    </row>
    <row r="186">
      <c r="A186" s="8" t="n"/>
      <c r="B186" s="9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10">
        <f>IF(OR(B186="",Q186=""),"",Q186-B186)</f>
        <v/>
      </c>
      <c r="S186" s="10">
        <f>IF(A186="","",IF(AND(P186&lt;&gt;"Cerrado",OR(G186="Alta",G186="Crítica"),J186=""),"Decidir comunicación a usuarios",IF(AND(P186="Cerrado",M186=""),"Cerrado sin causa raíz","")))</f>
        <v/>
      </c>
      <c r="T186" s="8" t="n"/>
    </row>
    <row r="187">
      <c r="A187" s="8" t="n"/>
      <c r="B187" s="9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10">
        <f>IF(OR(B187="",Q187=""),"",Q187-B187)</f>
        <v/>
      </c>
      <c r="S187" s="10">
        <f>IF(A187="","",IF(AND(P187&lt;&gt;"Cerrado",OR(G187="Alta",G187="Crítica"),J187=""),"Decidir comunicación a usuarios",IF(AND(P187="Cerrado",M187=""),"Cerrado sin causa raíz","")))</f>
        <v/>
      </c>
      <c r="T187" s="8" t="n"/>
    </row>
    <row r="188">
      <c r="A188" s="8" t="n"/>
      <c r="B188" s="9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10">
        <f>IF(OR(B188="",Q188=""),"",Q188-B188)</f>
        <v/>
      </c>
      <c r="S188" s="10">
        <f>IF(A188="","",IF(AND(P188&lt;&gt;"Cerrado",OR(G188="Alta",G188="Crítica"),J188=""),"Decidir comunicación a usuarios",IF(AND(P188="Cerrado",M188=""),"Cerrado sin causa raíz","")))</f>
        <v/>
      </c>
      <c r="T188" s="8" t="n"/>
    </row>
    <row r="189">
      <c r="A189" s="8" t="n"/>
      <c r="B189" s="9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10">
        <f>IF(OR(B189="",Q189=""),"",Q189-B189)</f>
        <v/>
      </c>
      <c r="S189" s="10">
        <f>IF(A189="","",IF(AND(P189&lt;&gt;"Cerrado",OR(G189="Alta",G189="Crítica"),J189=""),"Decidir comunicación a usuarios",IF(AND(P189="Cerrado",M189=""),"Cerrado sin causa raíz","")))</f>
        <v/>
      </c>
      <c r="T189" s="8" t="n"/>
    </row>
    <row r="190">
      <c r="A190" s="8" t="n"/>
      <c r="B190" s="9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10">
        <f>IF(OR(B190="",Q190=""),"",Q190-B190)</f>
        <v/>
      </c>
      <c r="S190" s="10">
        <f>IF(A190="","",IF(AND(P190&lt;&gt;"Cerrado",OR(G190="Alta",G190="Crítica"),J190=""),"Decidir comunicación a usuarios",IF(AND(P190="Cerrado",M190=""),"Cerrado sin causa raíz","")))</f>
        <v/>
      </c>
      <c r="T190" s="8" t="n"/>
    </row>
    <row r="191">
      <c r="A191" s="8" t="n"/>
      <c r="B191" s="9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10">
        <f>IF(OR(B191="",Q191=""),"",Q191-B191)</f>
        <v/>
      </c>
      <c r="S191" s="10">
        <f>IF(A191="","",IF(AND(P191&lt;&gt;"Cerrado",OR(G191="Alta",G191="Crítica"),J191=""),"Decidir comunicación a usuarios",IF(AND(P191="Cerrado",M191=""),"Cerrado sin causa raíz","")))</f>
        <v/>
      </c>
      <c r="T191" s="8" t="n"/>
    </row>
    <row r="192">
      <c r="A192" s="8" t="n"/>
      <c r="B192" s="9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10">
        <f>IF(OR(B192="",Q192=""),"",Q192-B192)</f>
        <v/>
      </c>
      <c r="S192" s="10">
        <f>IF(A192="","",IF(AND(P192&lt;&gt;"Cerrado",OR(G192="Alta",G192="Crítica"),J192=""),"Decidir comunicación a usuarios",IF(AND(P192="Cerrado",M192=""),"Cerrado sin causa raíz","")))</f>
        <v/>
      </c>
      <c r="T192" s="8" t="n"/>
    </row>
    <row r="193">
      <c r="A193" s="8" t="n"/>
      <c r="B193" s="9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10">
        <f>IF(OR(B193="",Q193=""),"",Q193-B193)</f>
        <v/>
      </c>
      <c r="S193" s="10">
        <f>IF(A193="","",IF(AND(P193&lt;&gt;"Cerrado",OR(G193="Alta",G193="Crítica"),J193=""),"Decidir comunicación a usuarios",IF(AND(P193="Cerrado",M193=""),"Cerrado sin causa raíz","")))</f>
        <v/>
      </c>
      <c r="T193" s="8" t="n"/>
    </row>
    <row r="194">
      <c r="A194" s="8" t="n"/>
      <c r="B194" s="9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10">
        <f>IF(OR(B194="",Q194=""),"",Q194-B194)</f>
        <v/>
      </c>
      <c r="S194" s="10">
        <f>IF(A194="","",IF(AND(P194&lt;&gt;"Cerrado",OR(G194="Alta",G194="Crítica"),J194=""),"Decidir comunicación a usuarios",IF(AND(P194="Cerrado",M194=""),"Cerrado sin causa raíz","")))</f>
        <v/>
      </c>
      <c r="T194" s="8" t="n"/>
    </row>
    <row r="195">
      <c r="A195" s="8" t="n"/>
      <c r="B195" s="9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10">
        <f>IF(OR(B195="",Q195=""),"",Q195-B195)</f>
        <v/>
      </c>
      <c r="S195" s="10">
        <f>IF(A195="","",IF(AND(P195&lt;&gt;"Cerrado",OR(G195="Alta",G195="Crítica"),J195=""),"Decidir comunicación a usuarios",IF(AND(P195="Cerrado",M195=""),"Cerrado sin causa raíz","")))</f>
        <v/>
      </c>
      <c r="T195" s="8" t="n"/>
    </row>
    <row r="196">
      <c r="A196" s="8" t="n"/>
      <c r="B196" s="9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10">
        <f>IF(OR(B196="",Q196=""),"",Q196-B196)</f>
        <v/>
      </c>
      <c r="S196" s="10">
        <f>IF(A196="","",IF(AND(P196&lt;&gt;"Cerrado",OR(G196="Alta",G196="Crítica"),J196=""),"Decidir comunicación a usuarios",IF(AND(P196="Cerrado",M196=""),"Cerrado sin causa raíz","")))</f>
        <v/>
      </c>
      <c r="T196" s="8" t="n"/>
    </row>
    <row r="197">
      <c r="A197" s="8" t="n"/>
      <c r="B197" s="9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10">
        <f>IF(OR(B197="",Q197=""),"",Q197-B197)</f>
        <v/>
      </c>
      <c r="S197" s="10">
        <f>IF(A197="","",IF(AND(P197&lt;&gt;"Cerrado",OR(G197="Alta",G197="Crítica"),J197=""),"Decidir comunicación a usuarios",IF(AND(P197="Cerrado",M197=""),"Cerrado sin causa raíz","")))</f>
        <v/>
      </c>
      <c r="T197" s="8" t="n"/>
    </row>
    <row r="198">
      <c r="A198" s="8" t="n"/>
      <c r="B198" s="9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10">
        <f>IF(OR(B198="",Q198=""),"",Q198-B198)</f>
        <v/>
      </c>
      <c r="S198" s="10">
        <f>IF(A198="","",IF(AND(P198&lt;&gt;"Cerrado",OR(G198="Alta",G198="Crítica"),J198=""),"Decidir comunicación a usuarios",IF(AND(P198="Cerrado",M198=""),"Cerrado sin causa raíz","")))</f>
        <v/>
      </c>
      <c r="T198" s="8" t="n"/>
    </row>
    <row r="199">
      <c r="A199" s="8" t="n"/>
      <c r="B199" s="9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10">
        <f>IF(OR(B199="",Q199=""),"",Q199-B199)</f>
        <v/>
      </c>
      <c r="S199" s="10">
        <f>IF(A199="","",IF(AND(P199&lt;&gt;"Cerrado",OR(G199="Alta",G199="Crítica"),J199=""),"Decidir comunicación a usuarios",IF(AND(P199="Cerrado",M199=""),"Cerrado sin causa raíz","")))</f>
        <v/>
      </c>
      <c r="T199" s="8" t="n"/>
    </row>
    <row r="200">
      <c r="A200" s="8" t="n"/>
      <c r="B200" s="9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10">
        <f>IF(OR(B200="",Q200=""),"",Q200-B200)</f>
        <v/>
      </c>
      <c r="S200" s="10">
        <f>IF(A200="","",IF(AND(P200&lt;&gt;"Cerrado",OR(G200="Alta",G200="Crítica"),J200=""),"Decidir comunicación a usuarios",IF(AND(P200="Cerrado",M200=""),"Cerrado sin causa raíz","")))</f>
        <v/>
      </c>
      <c r="T200" s="8" t="n"/>
    </row>
    <row r="201">
      <c r="A201" s="8" t="n"/>
      <c r="B201" s="9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9" t="n"/>
      <c r="R201" s="10">
        <f>IF(OR(B201="",Q201=""),"",Q201-B201)</f>
        <v/>
      </c>
      <c r="S201" s="10">
        <f>IF(A201="","",IF(AND(P201&lt;&gt;"Cerrado",OR(G201="Alta",G201="Crítica"),J201=""),"Decidir comunicación a usuarios",IF(AND(P201="Cerrado",M201=""),"Cerrado sin causa raíz","")))</f>
        <v/>
      </c>
      <c r="T201" s="8" t="n"/>
    </row>
    <row r="202">
      <c r="A202" s="8" t="n"/>
      <c r="B202" s="9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9" t="n"/>
      <c r="R202" s="10">
        <f>IF(OR(B202="",Q202=""),"",Q202-B202)</f>
        <v/>
      </c>
      <c r="S202" s="10">
        <f>IF(A202="","",IF(AND(P202&lt;&gt;"Cerrado",OR(G202="Alta",G202="Crítica"),J202=""),"Decidir comunicación a usuarios",IF(AND(P202="Cerrado",M202=""),"Cerrado sin causa raíz","")))</f>
        <v/>
      </c>
      <c r="T202" s="8" t="n"/>
    </row>
    <row r="203">
      <c r="A203" s="8" t="n"/>
      <c r="B203" s="9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9" t="n"/>
      <c r="R203" s="10">
        <f>IF(OR(B203="",Q203=""),"",Q203-B203)</f>
        <v/>
      </c>
      <c r="S203" s="10">
        <f>IF(A203="","",IF(AND(P203&lt;&gt;"Cerrado",OR(G203="Alta",G203="Crítica"),J203=""),"Decidir comunicación a usuarios",IF(AND(P203="Cerrado",M203=""),"Cerrado sin causa raíz","")))</f>
        <v/>
      </c>
      <c r="T203" s="8" t="n"/>
    </row>
    <row r="204">
      <c r="A204" s="8" t="n"/>
      <c r="B204" s="9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9" t="n"/>
      <c r="R204" s="10">
        <f>IF(OR(B204="",Q204=""),"",Q204-B204)</f>
        <v/>
      </c>
      <c r="S204" s="10">
        <f>IF(A204="","",IF(AND(P204&lt;&gt;"Cerrado",OR(G204="Alta",G204="Crítica"),J204=""),"Decidir comunicación a usuarios",IF(AND(P204="Cerrado",M204=""),"Cerrado sin causa raíz","")))</f>
        <v/>
      </c>
      <c r="T204" s="8" t="n"/>
    </row>
  </sheetData>
  <autoFilter ref="A4:T204"/>
  <conditionalFormatting sqref="G5:G204">
    <cfRule type="cellIs" priority="1" operator="equal" dxfId="0">
      <formula>"Baja"</formula>
    </cfRule>
    <cfRule type="cellIs" priority="2" operator="equal" dxfId="1">
      <formula>"Media"</formula>
    </cfRule>
    <cfRule type="cellIs" priority="3" operator="equal" dxfId="2">
      <formula>"Alta"</formula>
    </cfRule>
    <cfRule type="cellIs" priority="4" operator="equal" dxfId="3">
      <formula>"Crítica"</formula>
    </cfRule>
  </conditionalFormatting>
  <conditionalFormatting sqref="S5:S204">
    <cfRule type="cellIs" priority="5" operator="notEqual" dxfId="3">
      <formula>""</formula>
    </cfRule>
  </conditionalFormatting>
  <dataValidations count="7">
    <dataValidation sqref="D5:D204" showDropDown="0" showInputMessage="0" showErrorMessage="0" allowBlank="1" errorTitle="Valor no válido" error="Elige un valor de la lista." type="list">
      <formula1>=Listas!$E$2:$E$8</formula1>
    </dataValidation>
    <dataValidation sqref="F5:F204" showDropDown="0" showInputMessage="0" showErrorMessage="0" allowBlank="1" errorTitle="Valor no válido" error="Elige un valor de la lista." type="list">
      <formula1>=Listas!$A$2:$A$9</formula1>
    </dataValidation>
    <dataValidation sqref="G5:G204" showDropDown="0" showInputMessage="0" showErrorMessage="0" allowBlank="1" errorTitle="Valor no válido" error="Elige un valor de la lista." type="list">
      <formula1>=Listas!$B$2:$B$5</formula1>
    </dataValidation>
    <dataValidation sqref="I5:I204" showDropDown="0" showInputMessage="0" showErrorMessage="0" allowBlank="1" errorTitle="Valor no válido" error="Elige un valor de la lista." type="list">
      <formula1>=Listas!$C$2:$C$4</formula1>
    </dataValidation>
    <dataValidation sqref="J5:J204" showDropDown="0" showInputMessage="0" showErrorMessage="0" allowBlank="1" errorTitle="Valor no válido" error="Elige un valor de la lista." type="list">
      <formula1>=Listas!$C$2:$C$4</formula1>
    </dataValidation>
    <dataValidation sqref="K5:K204" showDropDown="0" showInputMessage="0" showErrorMessage="0" allowBlank="1" errorTitle="Valor no válido" error="Elige un valor de la lista." type="list">
      <formula1>=Listas!$C$2:$C$4</formula1>
    </dataValidation>
    <dataValidation sqref="P5:P204" showDropDown="0" showInputMessage="0" showErrorMessage="0" allowBlank="1" errorTitle="Valor no válido" error="Elige un valor de la lista." type="list">
      <formula1>=Listas!$D$2:$D$5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4" customWidth="1" min="4" max="4"/>
  </cols>
  <sheetData>
    <row r="1">
      <c r="A1" s="5" t="inlineStr">
        <is>
          <t>Resumen de incidentes de IA</t>
        </is>
      </c>
    </row>
    <row r="3" ht="36" customHeight="1">
      <c r="A3" s="7" t="inlineStr">
        <is>
          <t>Tipo de incidente</t>
        </is>
      </c>
      <c r="B3" s="7" t="inlineStr">
        <is>
          <t>Total</t>
        </is>
      </c>
      <c r="C3" s="7" t="inlineStr">
        <is>
          <t>Abiertos</t>
        </is>
      </c>
      <c r="D3" s="7" t="inlineStr">
        <is>
          <t>Alta o crítica</t>
        </is>
      </c>
    </row>
    <row r="4">
      <c r="A4" s="8" t="inlineStr">
        <is>
          <t>Desempeño o error del modelo</t>
        </is>
      </c>
      <c r="B4" s="8">
        <f>COUNTIF(Registro!F5:F204,A4)</f>
        <v/>
      </c>
      <c r="C4" s="8">
        <f>COUNTIFS(Registro!F5:F204,A4,Registro!P5:P204,"&lt;&gt;Cerrado")</f>
        <v/>
      </c>
      <c r="D4" s="8">
        <f>COUNTIFS(Registro!F5:F204,A4,Registro!G5:G204,"Alta")+COUNTIFS(Registro!F5:F204,A4,Registro!G5:G204,"Crítica")</f>
        <v/>
      </c>
    </row>
    <row r="5">
      <c r="A5" s="8" t="inlineStr">
        <is>
          <t>Alucinación con impacto</t>
        </is>
      </c>
      <c r="B5" s="8">
        <f>COUNTIF(Registro!F5:F204,A5)</f>
        <v/>
      </c>
      <c r="C5" s="8">
        <f>COUNTIFS(Registro!F5:F204,A5,Registro!P5:P204,"&lt;&gt;Cerrado")</f>
        <v/>
      </c>
      <c r="D5" s="8">
        <f>COUNTIFS(Registro!F5:F204,A5,Registro!G5:G204,"Alta")+COUNTIFS(Registro!F5:F204,A5,Registro!G5:G204,"Crítica")</f>
        <v/>
      </c>
    </row>
    <row r="6">
      <c r="A6" s="8" t="inlineStr">
        <is>
          <t>Sesgo o trato injusto</t>
        </is>
      </c>
      <c r="B6" s="8">
        <f>COUNTIF(Registro!F5:F204,A6)</f>
        <v/>
      </c>
      <c r="C6" s="8">
        <f>COUNTIFS(Registro!F5:F204,A6,Registro!P5:P204,"&lt;&gt;Cerrado")</f>
        <v/>
      </c>
      <c r="D6" s="8">
        <f>COUNTIFS(Registro!F5:F204,A6,Registro!G5:G204,"Alta")+COUNTIFS(Registro!F5:F204,A6,Registro!G5:G204,"Crítica")</f>
        <v/>
      </c>
    </row>
    <row r="7">
      <c r="A7" s="8" t="inlineStr">
        <is>
          <t>Seguridad propia de la IA</t>
        </is>
      </c>
      <c r="B7" s="8">
        <f>COUNTIF(Registro!F5:F204,A7)</f>
        <v/>
      </c>
      <c r="C7" s="8">
        <f>COUNTIFS(Registro!F5:F204,A7,Registro!P5:P204,"&lt;&gt;Cerrado")</f>
        <v/>
      </c>
      <c r="D7" s="8">
        <f>COUNTIFS(Registro!F5:F204,A7,Registro!G5:G204,"Alta")+COUNTIFS(Registro!F5:F204,A7,Registro!G5:G204,"Crítica")</f>
        <v/>
      </c>
    </row>
    <row r="8">
      <c r="A8" s="8" t="inlineStr">
        <is>
          <t>Privacidad o datos personales</t>
        </is>
      </c>
      <c r="B8" s="8">
        <f>COUNTIF(Registro!F5:F204,A8)</f>
        <v/>
      </c>
      <c r="C8" s="8">
        <f>COUNTIFS(Registro!F5:F204,A8,Registro!P5:P204,"&lt;&gt;Cerrado")</f>
        <v/>
      </c>
      <c r="D8" s="8">
        <f>COUNTIFS(Registro!F5:F204,A8,Registro!G5:G204,"Alta")+COUNTIFS(Registro!F5:F204,A8,Registro!G5:G204,"Crítica")</f>
        <v/>
      </c>
    </row>
    <row r="9">
      <c r="A9" s="8" t="inlineStr">
        <is>
          <t>Uso indebido o fuera del uso previsto</t>
        </is>
      </c>
      <c r="B9" s="8">
        <f>COUNTIF(Registro!F5:F204,A9)</f>
        <v/>
      </c>
      <c r="C9" s="8">
        <f>COUNTIFS(Registro!F5:F204,A9,Registro!P5:P204,"&lt;&gt;Cerrado")</f>
        <v/>
      </c>
      <c r="D9" s="8">
        <f>COUNTIFS(Registro!F5:F204,A9,Registro!G5:G204,"Alta")+COUNTIFS(Registro!F5:F204,A9,Registro!G5:G204,"Crítica")</f>
        <v/>
      </c>
    </row>
    <row r="10">
      <c r="A10" s="8" t="inlineStr">
        <is>
          <t>Falla del proveedor</t>
        </is>
      </c>
      <c r="B10" s="8">
        <f>COUNTIF(Registro!F5:F204,A10)</f>
        <v/>
      </c>
      <c r="C10" s="8">
        <f>COUNTIFS(Registro!F5:F204,A10,Registro!P5:P204,"&lt;&gt;Cerrado")</f>
        <v/>
      </c>
      <c r="D10" s="8">
        <f>COUNTIFS(Registro!F5:F204,A10,Registro!G5:G204,"Alta")+COUNTIFS(Registro!F5:F204,A10,Registro!G5:G204,"Crítica")</f>
        <v/>
      </c>
    </row>
    <row r="11">
      <c r="A11" s="8" t="inlineStr">
        <is>
          <t>Otro</t>
        </is>
      </c>
      <c r="B11" s="8">
        <f>COUNTIF(Registro!F5:F204,A11)</f>
        <v/>
      </c>
      <c r="C11" s="8">
        <f>COUNTIFS(Registro!F5:F204,A11,Registro!P5:P204,"&lt;&gt;Cerrado")</f>
        <v/>
      </c>
      <c r="D11" s="8">
        <f>COUNTIFS(Registro!F5:F204,A11,Registro!G5:G204,"Alta")+COUNTIFS(Registro!F5:F204,A11,Registro!G5:G204,"Crítica")</f>
        <v/>
      </c>
    </row>
    <row r="12">
      <c r="A12" s="11" t="inlineStr">
        <is>
          <t>Total</t>
        </is>
      </c>
      <c r="B12" s="11">
        <f>SUM(B4:B11)</f>
        <v/>
      </c>
      <c r="C12" s="11">
        <f>SUM(C4:C11)</f>
        <v/>
      </c>
      <c r="D12" s="11">
        <f>SUM(D4:D11)</f>
        <v/>
      </c>
    </row>
    <row r="14">
      <c r="A14" t="inlineStr">
        <is>
          <t>Promedio de días para cerrar</t>
        </is>
      </c>
      <c r="B14" s="12">
        <f>IFERROR(AVERAGE(Registro!R5:R204),"")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>
      <c r="A1" s="13" t="inlineStr">
        <is>
          <t>Tipo</t>
        </is>
      </c>
      <c r="B1" s="13" t="inlineStr">
        <is>
          <t>Severidad</t>
        </is>
      </c>
      <c r="C1" s="13" t="inlineStr">
        <is>
          <t>SiNo</t>
        </is>
      </c>
      <c r="D1" s="13" t="inlineStr">
        <is>
          <t>Estado</t>
        </is>
      </c>
      <c r="E1" s="13" t="inlineStr">
        <is>
          <t>Origen</t>
        </is>
      </c>
    </row>
    <row r="2">
      <c r="A2" t="inlineStr">
        <is>
          <t>Desempeño o error del modelo</t>
        </is>
      </c>
      <c r="B2" t="inlineStr">
        <is>
          <t>Baja</t>
        </is>
      </c>
      <c r="C2" t="inlineStr">
        <is>
          <t>Sí</t>
        </is>
      </c>
      <c r="D2" t="inlineStr">
        <is>
          <t>Abierto</t>
        </is>
      </c>
      <c r="E2" t="inlineStr">
        <is>
          <t>Monitoreo automático</t>
        </is>
      </c>
    </row>
    <row r="3">
      <c r="A3" t="inlineStr">
        <is>
          <t>Alucinación con impacto</t>
        </is>
      </c>
      <c r="B3" t="inlineStr">
        <is>
          <t>Media</t>
        </is>
      </c>
      <c r="C3" t="inlineStr">
        <is>
          <t>No</t>
        </is>
      </c>
      <c r="D3" t="inlineStr">
        <is>
          <t>En análisis</t>
        </is>
      </c>
      <c r="E3" t="inlineStr">
        <is>
          <t>Reporte de usuario</t>
        </is>
      </c>
    </row>
    <row r="4">
      <c r="A4" t="inlineStr">
        <is>
          <t>Sesgo o trato injusto</t>
        </is>
      </c>
      <c r="B4" t="inlineStr">
        <is>
          <t>Alta</t>
        </is>
      </c>
      <c r="C4" t="inlineStr">
        <is>
          <t>Por determinar</t>
        </is>
      </c>
      <c r="D4" t="inlineStr">
        <is>
          <t>Contenido</t>
        </is>
      </c>
      <c r="E4" t="inlineStr">
        <is>
          <t>Reporte de cliente</t>
        </is>
      </c>
    </row>
    <row r="5">
      <c r="A5" t="inlineStr">
        <is>
          <t>Seguridad propia de la IA</t>
        </is>
      </c>
      <c r="B5" t="inlineStr">
        <is>
          <t>Crítica</t>
        </is>
      </c>
      <c r="D5" t="inlineStr">
        <is>
          <t>Cerrado</t>
        </is>
      </c>
      <c r="E5" t="inlineStr">
        <is>
          <t>Reporte interno (A.3.3)</t>
        </is>
      </c>
    </row>
    <row r="6">
      <c r="A6" t="inlineStr">
        <is>
          <t>Privacidad o datos personales</t>
        </is>
      </c>
      <c r="E6" t="inlineStr">
        <is>
          <t>Proveedor</t>
        </is>
      </c>
    </row>
    <row r="7">
      <c r="A7" t="inlineStr">
        <is>
          <t>Uso indebido o fuera del uso previsto</t>
        </is>
      </c>
      <c r="E7" t="inlineStr">
        <is>
          <t>Auditoría</t>
        </is>
      </c>
    </row>
    <row r="8">
      <c r="A8" t="inlineStr">
        <is>
          <t>Falla del proveedor</t>
        </is>
      </c>
      <c r="E8" t="inlineStr">
        <is>
          <t>Otro</t>
        </is>
      </c>
    </row>
    <row r="9">
      <c r="A9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Adrián Guzmán · Descifrando ISO 42001</dc:creator>
  <dc:title>Registro de incidentes de IA</dc:title>
  <dc:description>Plantilla de apoyo de la guía Descifrando ISO 42001. Interpretación del autor; no sustituye a la norma ISO/IEC 42001 ni es asesoría legal. Los nombres de los controles son traducciones libres.</dc:description>
  <dcterms:created xsi:type="dcterms:W3CDTF">2026-10-09T20:45:22Z</dcterms:created>
  <dcterms:modified xsi:type="dcterms:W3CDTF">2026-10-09T20:45:22Z</dcterms:modified>
  <cp:keywords>ISO/IEC 42001; SGIA; plantilla</cp:keywords>
</cp:coreProperties>
</file>