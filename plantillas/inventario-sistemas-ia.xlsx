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Inventario" sheetId="2" state="visible" r:id="rId2"/>
    <sheet name="Listas" sheetId="3" state="visible" r:id="rId3"/>
  </sheets>
  <definedNames>
    <definedName name="_xlnm._FilterDatabase" localSheetId="1" hidden="1">'Inventario'!$A$4:$S$104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312E81"/>
      <sz val="16"/>
    </font>
    <font>
      <i val="1"/>
      <color rgb="00555555"/>
      <sz val="9"/>
    </font>
    <font>
      <color rgb="00555555"/>
      <sz val="9"/>
    </font>
    <font>
      <b val="1"/>
    </font>
    <font>
      <b val="1"/>
      <color rgb="00312E8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12E81"/>
      </patternFill>
    </fill>
    <fill>
      <patternFill patternType="solid">
        <fgColor rgb="00F4F5FB"/>
      </patternFill>
    </fill>
  </fills>
  <borders count="2">
    <border>
      <left/>
      <right/>
      <top/>
      <bottom/>
      <diagonal/>
    </border>
    <border>
      <left style="thin">
        <color rgb="00D9DCEF"/>
      </left>
      <right style="thin">
        <color rgb="00D9DCEF"/>
      </right>
      <top style="thin">
        <color rgb="00D9DCEF"/>
      </top>
      <bottom style="thin">
        <color rgb="00D9DC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BBF7D0"/>
        </patternFill>
      </fill>
    </dxf>
    <dxf>
      <fill>
        <patternFill patternType="solid">
          <fgColor rgb="00FEF08A"/>
        </patternFill>
      </fill>
    </dxf>
    <dxf>
      <fill>
        <patternFill patternType="solid">
          <fgColor rgb="00FED7AA"/>
        </patternFill>
      </fill>
    </dxf>
    <dxf>
      <fill>
        <patternFill patternType="solid">
          <fgColor rgb="00FECACA"/>
        </patternFill>
      </fill>
    </dxf>
    <dxf>
      <font>
        <b val="1"/>
      </font>
      <fill>
        <patternFill patternType="solid">
          <fgColor rgb="00FBCF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Inventario de sistemas de IA</t>
        </is>
      </c>
    </row>
    <row r="2" ht="30" customHeight="1">
      <c r="A2" s="2" t="inlineStr">
        <is>
          <t>Plantilla de apoyo de la guía Descifrando ISO 42001. Interpretación del autor; no sustituye a la norma ISO/IEC 42001 ni es asesoría legal. Los nombres de los controles son traducciones libres.</t>
        </is>
      </c>
    </row>
    <row r="4">
      <c r="A4" s="3" t="inlineStr">
        <is>
          <t>1. Registra cada sistema de IA que tu organización usa, desarrolla o provee, incluidos asistentes de IA generativa, chatbots de proveedores y módulos con IA dentro de otros productos.</t>
        </is>
      </c>
    </row>
    <row r="5">
      <c r="A5" s="3" t="inlineStr">
        <is>
          <t>2. Determina tu rol frente a cada sistema (cláusula 4.1): un mismo sistema puede implicar varios roles.</t>
        </is>
      </c>
    </row>
    <row r="6">
      <c r="A6" s="3" t="inlineStr">
        <is>
          <t>3. Las columnas en gris se calculan solas: indican si conviene una evaluación de impacto (6.1.4 y A.5) y la fecha de la siguiente revisión (12 meses después de la última evaluación).</t>
        </is>
      </c>
    </row>
    <row r="7">
      <c r="A7" s="3" t="inlineStr">
        <is>
          <t>4. Usa el inventario para fijar el alcance del SGIA (4.3), documentar recursos (A.4) y planificar evaluaciones de riesgo e impacto (8.2 y 8.4).</t>
        </is>
      </c>
    </row>
    <row r="8">
      <c r="A8" s="3" t="inlineStr">
        <is>
          <t>5. Las filas de ejemplo corresponden a la empresa ficticia Contadores Alameda (caso práctico 1). Bórralas o reemplázalas por tus sistemas.</t>
        </is>
      </c>
    </row>
    <row r="10">
      <c r="A10" s="4" t="inlineStr">
        <is>
          <t>Autor: Carlos Adrián Guzmán · Descifrando ISO 42001 · Licencia CC BY-SA 4.0 · https://adriangzmncrz-arch.github.io/descifrando-iso42001/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20" customWidth="1" min="4" max="4"/>
    <col width="22" customWidth="1" min="5" max="5"/>
    <col width="22" customWidth="1" min="6" max="6"/>
    <col width="22" customWidth="1" min="7" max="7"/>
    <col width="30" customWidth="1" min="8" max="8"/>
    <col width="12" customWidth="1" min="9" max="9"/>
    <col width="12" customWidth="1" min="10" max="10"/>
    <col width="16" customWidth="1" min="11" max="11"/>
    <col width="26" customWidth="1" min="12" max="12"/>
    <col width="12" customWidth="1" min="13" max="13"/>
    <col width="16" customWidth="1" min="14" max="14"/>
    <col width="20" customWidth="1" min="15" max="15"/>
    <col width="14" customWidth="1" min="16" max="16"/>
    <col width="14" customWidth="1" min="17" max="17"/>
    <col width="14" customWidth="1" min="18" max="18"/>
    <col width="30" customWidth="1" min="19" max="19"/>
  </cols>
  <sheetData>
    <row r="1">
      <c r="A1" s="5" t="inlineStr">
        <is>
          <t>Inventario de sistemas de IA</t>
        </is>
      </c>
    </row>
    <row r="2">
      <c r="A2" s="6" t="inlineStr">
        <is>
          <t>Controles relacionados: 4.1, 4.3, A.4.2 a A.4.6, A.5.2, A.9.4</t>
        </is>
      </c>
    </row>
    <row r="4" ht="36" customHeight="1">
      <c r="A4" s="7" t="inlineStr">
        <is>
          <t>ID</t>
        </is>
      </c>
      <c r="B4" s="7" t="inlineStr">
        <is>
          <t>Sistema de IA</t>
        </is>
      </c>
      <c r="C4" s="7" t="inlineStr">
        <is>
          <t>Propósito y uso previsto</t>
        </is>
      </c>
      <c r="D4" s="7" t="inlineStr">
        <is>
          <t>Rol de la organización</t>
        </is>
      </c>
      <c r="E4" s="7" t="inlineStr">
        <is>
          <t>Origen</t>
        </is>
      </c>
      <c r="F4" s="7" t="inlineStr">
        <is>
          <t>Proveedor o equipo responsable</t>
        </is>
      </c>
      <c r="G4" s="7" t="inlineStr">
        <is>
          <t>Tipo de IA</t>
        </is>
      </c>
      <c r="H4" s="7" t="inlineStr">
        <is>
          <t>Datos que usa</t>
        </is>
      </c>
      <c r="I4" s="7" t="inlineStr">
        <is>
          <t>¿Datos personales?</t>
        </is>
      </c>
      <c r="J4" s="7" t="inlineStr">
        <is>
          <t>¿Datos sensibles?</t>
        </is>
      </c>
      <c r="K4" s="7" t="inlineStr">
        <is>
          <t>¿Influye en decisiones sobre personas?</t>
        </is>
      </c>
      <c r="L4" s="7" t="inlineStr">
        <is>
          <t>Personas o grupos afectados</t>
        </is>
      </c>
      <c r="M4" s="7" t="inlineStr">
        <is>
          <t>Nivel de riesgo</t>
        </is>
      </c>
      <c r="N4" s="7" t="inlineStr">
        <is>
          <t>¿Requiere evaluación de impacto?</t>
        </is>
      </c>
      <c r="O4" s="7" t="inlineStr">
        <is>
          <t>Dueño del sistema</t>
        </is>
      </c>
      <c r="P4" s="7" t="inlineStr">
        <is>
          <t>Estado</t>
        </is>
      </c>
      <c r="Q4" s="7" t="inlineStr">
        <is>
          <t>Última evaluación de riesgos</t>
        </is>
      </c>
      <c r="R4" s="7" t="inlineStr">
        <is>
          <t>Próxima revisión</t>
        </is>
      </c>
      <c r="S4" s="7" t="inlineStr">
        <is>
          <t>Notas</t>
        </is>
      </c>
    </row>
    <row r="5">
      <c r="A5" s="8" t="inlineStr">
        <is>
          <t>IA-01</t>
        </is>
      </c>
      <c r="B5" s="8" t="inlineStr">
        <is>
          <t>Asistente de IA generativa de la suite de oficina</t>
        </is>
      </c>
      <c r="C5" s="8" t="inlineStr">
        <is>
          <t>Redactar correos, resumir juntas y analizar hojas de cálculo internas</t>
        </is>
      </c>
      <c r="D5" s="8" t="inlineStr">
        <is>
          <t>Cliente o usuario de IA</t>
        </is>
      </c>
      <c r="E5" s="8" t="inlineStr">
        <is>
          <t>Proveedor externo (SaaS o API)</t>
        </is>
      </c>
      <c r="F5" s="8" t="inlineStr">
        <is>
          <t>Proveedor de nube (licencia empresarial)</t>
        </is>
      </c>
      <c r="G5" s="8" t="inlineStr">
        <is>
          <t>IA generativa (LLM)</t>
        </is>
      </c>
      <c r="H5" s="8" t="inlineStr">
        <is>
          <t>Correos, documentos internos, hojas de nómina</t>
        </is>
      </c>
      <c r="I5" s="8" t="inlineStr">
        <is>
          <t>Sí</t>
        </is>
      </c>
      <c r="J5" s="8" t="inlineStr">
        <is>
          <t>No</t>
        </is>
      </c>
      <c r="K5" s="8" t="inlineStr">
        <is>
          <t>No</t>
        </is>
      </c>
      <c r="L5" s="8" t="inlineStr">
        <is>
          <t>Colaboradores; clientes cuyos datos aparecen en documentos</t>
        </is>
      </c>
      <c r="M5" s="8" t="inlineStr">
        <is>
          <t>Medio</t>
        </is>
      </c>
      <c r="N5" s="9">
        <f>IF(B5="","",IF(OR(K5="Sí",J5="Sí",M5="Alto",M5="Crítico"),"Sí",IF(M5="Sin evaluar","Pendiente","Valorar")))</f>
        <v/>
      </c>
      <c r="O5" s="8" t="inlineStr">
        <is>
          <t>Gerente de TI</t>
        </is>
      </c>
      <c r="P5" s="8" t="inlineStr">
        <is>
          <t>En producción</t>
        </is>
      </c>
      <c r="Q5" s="10" t="n">
        <v>46096</v>
      </c>
      <c r="R5" s="11">
        <f>IF(Q5="","",Q5+365)</f>
        <v/>
      </c>
      <c r="S5" s="8" t="inlineStr">
        <is>
          <t>Política de uso aceptable vigente</t>
        </is>
      </c>
    </row>
    <row r="6">
      <c r="A6" s="8" t="inlineStr">
        <is>
          <t>IA-02</t>
        </is>
      </c>
      <c r="B6" s="8" t="inlineStr">
        <is>
          <t>Alma, chatbot de WhatsApp</t>
        </is>
      </c>
      <c r="C6" s="8" t="inlineStr">
        <is>
          <t>Responder preguntas frecuentes de clientes sobre fechas fiscales, estatus de trámites y citas</t>
        </is>
      </c>
      <c r="D6" s="8" t="inlineStr">
        <is>
          <t>Cliente o usuario de IA</t>
        </is>
      </c>
      <c r="E6" s="8" t="inlineStr">
        <is>
          <t>Proveedor externo (SaaS o API)</t>
        </is>
      </c>
      <c r="F6" s="8" t="inlineStr">
        <is>
          <t>BotNorte (proveedor ficticio)</t>
        </is>
      </c>
      <c r="G6" s="8" t="inlineStr">
        <is>
          <t>IA generativa (LLM)</t>
        </is>
      </c>
      <c r="H6" s="8" t="inlineStr">
        <is>
          <t>Base de conocimiento propia; mensajes de clientes</t>
        </is>
      </c>
      <c r="I6" s="8" t="inlineStr">
        <is>
          <t>Sí</t>
        </is>
      </c>
      <c r="J6" s="8" t="inlineStr">
        <is>
          <t>No</t>
        </is>
      </c>
      <c r="K6" s="8" t="inlineStr">
        <is>
          <t>Sí</t>
        </is>
      </c>
      <c r="L6" s="8" t="inlineStr">
        <is>
          <t>Clientes PyME y sus contadores</t>
        </is>
      </c>
      <c r="M6" s="8" t="inlineStr">
        <is>
          <t>Alto</t>
        </is>
      </c>
      <c r="N6" s="9">
        <f>IF(B6="","",IF(OR(K6="Sí",J6="Sí",M6="Alto",M6="Crítico"),"Sí",IF(M6="Sin evaluar","Pendiente","Valorar")))</f>
        <v/>
      </c>
      <c r="O6" s="8" t="inlineStr">
        <is>
          <t>Líder de atención a clientes</t>
        </is>
      </c>
      <c r="P6" s="8" t="inlineStr">
        <is>
          <t>En producción</t>
        </is>
      </c>
      <c r="Q6" s="10" t="n">
        <v>46063</v>
      </c>
      <c r="R6" s="11">
        <f>IF(Q6="","",Q6+365)</f>
        <v/>
      </c>
      <c r="S6" s="8" t="inlineStr">
        <is>
          <t>Aviso de IA al inicio de la conversación</t>
        </is>
      </c>
    </row>
    <row r="7">
      <c r="A7" s="8" t="inlineStr">
        <is>
          <t>IA-03</t>
        </is>
      </c>
      <c r="B7" s="8" t="inlineStr">
        <is>
          <t>Captura automática de CFDI</t>
        </is>
      </c>
      <c r="C7" s="8" t="inlineStr">
        <is>
          <t>Extraer datos de facturas para la contabilidad</t>
        </is>
      </c>
      <c r="D7" s="8" t="inlineStr">
        <is>
          <t>Cliente o usuario de IA</t>
        </is>
      </c>
      <c r="E7" s="8" t="inlineStr">
        <is>
          <t>Módulo dentro de otro producto</t>
        </is>
      </c>
      <c r="F7" s="8" t="inlineStr">
        <is>
          <t>Proveedor del software contable</t>
        </is>
      </c>
      <c r="G7" s="8" t="inlineStr">
        <is>
          <t>Visión por computadora</t>
        </is>
      </c>
      <c r="H7" s="8" t="inlineStr">
        <is>
          <t>Facturas electrónicas y PDF de clientes</t>
        </is>
      </c>
      <c r="I7" s="8" t="inlineStr">
        <is>
          <t>Sí</t>
        </is>
      </c>
      <c r="J7" s="8" t="inlineStr">
        <is>
          <t>No</t>
        </is>
      </c>
      <c r="K7" s="8" t="inlineStr">
        <is>
          <t>No</t>
        </is>
      </c>
      <c r="L7" s="8" t="inlineStr">
        <is>
          <t>Clientes PyME</t>
        </is>
      </c>
      <c r="M7" s="8" t="inlineStr">
        <is>
          <t>Medio</t>
        </is>
      </c>
      <c r="N7" s="9">
        <f>IF(B7="","",IF(OR(K7="Sí",J7="Sí",M7="Alto",M7="Crítico"),"Sí",IF(M7="Sin evaluar","Pendiente","Valorar")))</f>
        <v/>
      </c>
      <c r="O7" s="8" t="inlineStr">
        <is>
          <t>Gerente del área contable</t>
        </is>
      </c>
      <c r="P7" s="8" t="inlineStr">
        <is>
          <t>En producción</t>
        </is>
      </c>
      <c r="Q7" s="10" t="n">
        <v>46042</v>
      </c>
      <c r="R7" s="11">
        <f>IF(Q7="","",Q7+365)</f>
        <v/>
      </c>
      <c r="S7" s="8" t="inlineStr">
        <is>
          <t>Revisión humana por muestreo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9">
        <f>IF(B8="","",IF(OR(K8="Sí",J8="Sí",M8="Alto",M8="Crítico"),"Sí",IF(M8="Sin evaluar","Pendiente","Valorar")))</f>
        <v/>
      </c>
      <c r="O8" s="8" t="n"/>
      <c r="P8" s="8" t="n"/>
      <c r="Q8" s="10" t="n"/>
      <c r="R8" s="11">
        <f>IF(Q8="","",Q8+365)</f>
        <v/>
      </c>
      <c r="S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9">
        <f>IF(B9="","",IF(OR(K9="Sí",J9="Sí",M9="Alto",M9="Crítico"),"Sí",IF(M9="Sin evaluar","Pendiente","Valorar")))</f>
        <v/>
      </c>
      <c r="O9" s="8" t="n"/>
      <c r="P9" s="8" t="n"/>
      <c r="Q9" s="10" t="n"/>
      <c r="R9" s="11">
        <f>IF(Q9="","",Q9+365)</f>
        <v/>
      </c>
      <c r="S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9">
        <f>IF(B10="","",IF(OR(K10="Sí",J10="Sí",M10="Alto",M10="Crítico"),"Sí",IF(M10="Sin evaluar","Pendiente","Valorar")))</f>
        <v/>
      </c>
      <c r="O10" s="8" t="n"/>
      <c r="P10" s="8" t="n"/>
      <c r="Q10" s="10" t="n"/>
      <c r="R10" s="11">
        <f>IF(Q10="","",Q10+365)</f>
        <v/>
      </c>
      <c r="S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9">
        <f>IF(B11="","",IF(OR(K11="Sí",J11="Sí",M11="Alto",M11="Crítico"),"Sí",IF(M11="Sin evaluar","Pendiente","Valorar")))</f>
        <v/>
      </c>
      <c r="O11" s="8" t="n"/>
      <c r="P11" s="8" t="n"/>
      <c r="Q11" s="10" t="n"/>
      <c r="R11" s="11">
        <f>IF(Q11="","",Q11+365)</f>
        <v/>
      </c>
      <c r="S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9">
        <f>IF(B12="","",IF(OR(K12="Sí",J12="Sí",M12="Alto",M12="Crítico"),"Sí",IF(M12="Sin evaluar","Pendiente","Valorar")))</f>
        <v/>
      </c>
      <c r="O12" s="8" t="n"/>
      <c r="P12" s="8" t="n"/>
      <c r="Q12" s="10" t="n"/>
      <c r="R12" s="11">
        <f>IF(Q12="","",Q12+365)</f>
        <v/>
      </c>
      <c r="S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9">
        <f>IF(B13="","",IF(OR(K13="Sí",J13="Sí",M13="Alto",M13="Crítico"),"Sí",IF(M13="Sin evaluar","Pendiente","Valorar")))</f>
        <v/>
      </c>
      <c r="O13" s="8" t="n"/>
      <c r="P13" s="8" t="n"/>
      <c r="Q13" s="10" t="n"/>
      <c r="R13" s="11">
        <f>IF(Q13="","",Q13+365)</f>
        <v/>
      </c>
      <c r="S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9">
        <f>IF(B14="","",IF(OR(K14="Sí",J14="Sí",M14="Alto",M14="Crítico"),"Sí",IF(M14="Sin evaluar","Pendiente","Valorar")))</f>
        <v/>
      </c>
      <c r="O14" s="8" t="n"/>
      <c r="P14" s="8" t="n"/>
      <c r="Q14" s="10" t="n"/>
      <c r="R14" s="11">
        <f>IF(Q14="","",Q14+365)</f>
        <v/>
      </c>
      <c r="S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9">
        <f>IF(B15="","",IF(OR(K15="Sí",J15="Sí",M15="Alto",M15="Crítico"),"Sí",IF(M15="Sin evaluar","Pendiente","Valorar")))</f>
        <v/>
      </c>
      <c r="O15" s="8" t="n"/>
      <c r="P15" s="8" t="n"/>
      <c r="Q15" s="10" t="n"/>
      <c r="R15" s="11">
        <f>IF(Q15="","",Q15+365)</f>
        <v/>
      </c>
      <c r="S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9">
        <f>IF(B16="","",IF(OR(K16="Sí",J16="Sí",M16="Alto",M16="Crítico"),"Sí",IF(M16="Sin evaluar","Pendiente","Valorar")))</f>
        <v/>
      </c>
      <c r="O16" s="8" t="n"/>
      <c r="P16" s="8" t="n"/>
      <c r="Q16" s="10" t="n"/>
      <c r="R16" s="11">
        <f>IF(Q16="","",Q16+365)</f>
        <v/>
      </c>
      <c r="S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9">
        <f>IF(B17="","",IF(OR(K17="Sí",J17="Sí",M17="Alto",M17="Crítico"),"Sí",IF(M17="Sin evaluar","Pendiente","Valorar")))</f>
        <v/>
      </c>
      <c r="O17" s="8" t="n"/>
      <c r="P17" s="8" t="n"/>
      <c r="Q17" s="10" t="n"/>
      <c r="R17" s="11">
        <f>IF(Q17="","",Q17+365)</f>
        <v/>
      </c>
      <c r="S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9">
        <f>IF(B18="","",IF(OR(K18="Sí",J18="Sí",M18="Alto",M18="Crítico"),"Sí",IF(M18="Sin evaluar","Pendiente","Valorar")))</f>
        <v/>
      </c>
      <c r="O18" s="8" t="n"/>
      <c r="P18" s="8" t="n"/>
      <c r="Q18" s="10" t="n"/>
      <c r="R18" s="11">
        <f>IF(Q18="","",Q18+365)</f>
        <v/>
      </c>
      <c r="S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9">
        <f>IF(B19="","",IF(OR(K19="Sí",J19="Sí",M19="Alto",M19="Crítico"),"Sí",IF(M19="Sin evaluar","Pendiente","Valorar")))</f>
        <v/>
      </c>
      <c r="O19" s="8" t="n"/>
      <c r="P19" s="8" t="n"/>
      <c r="Q19" s="10" t="n"/>
      <c r="R19" s="11">
        <f>IF(Q19="","",Q19+365)</f>
        <v/>
      </c>
      <c r="S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9">
        <f>IF(B20="","",IF(OR(K20="Sí",J20="Sí",M20="Alto",M20="Crítico"),"Sí",IF(M20="Sin evaluar","Pendiente","Valorar")))</f>
        <v/>
      </c>
      <c r="O20" s="8" t="n"/>
      <c r="P20" s="8" t="n"/>
      <c r="Q20" s="10" t="n"/>
      <c r="R20" s="11">
        <f>IF(Q20="","",Q20+365)</f>
        <v/>
      </c>
      <c r="S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9">
        <f>IF(B21="","",IF(OR(K21="Sí",J21="Sí",M21="Alto",M21="Crítico"),"Sí",IF(M21="Sin evaluar","Pendiente","Valorar")))</f>
        <v/>
      </c>
      <c r="O21" s="8" t="n"/>
      <c r="P21" s="8" t="n"/>
      <c r="Q21" s="10" t="n"/>
      <c r="R21" s="11">
        <f>IF(Q21="","",Q21+365)</f>
        <v/>
      </c>
      <c r="S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9">
        <f>IF(B22="","",IF(OR(K22="Sí",J22="Sí",M22="Alto",M22="Crítico"),"Sí",IF(M22="Sin evaluar","Pendiente","Valorar")))</f>
        <v/>
      </c>
      <c r="O22" s="8" t="n"/>
      <c r="P22" s="8" t="n"/>
      <c r="Q22" s="10" t="n"/>
      <c r="R22" s="11">
        <f>IF(Q22="","",Q22+365)</f>
        <v/>
      </c>
      <c r="S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9">
        <f>IF(B23="","",IF(OR(K23="Sí",J23="Sí",M23="Alto",M23="Crítico"),"Sí",IF(M23="Sin evaluar","Pendiente","Valorar")))</f>
        <v/>
      </c>
      <c r="O23" s="8" t="n"/>
      <c r="P23" s="8" t="n"/>
      <c r="Q23" s="10" t="n"/>
      <c r="R23" s="11">
        <f>IF(Q23="","",Q23+365)</f>
        <v/>
      </c>
      <c r="S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9">
        <f>IF(B24="","",IF(OR(K24="Sí",J24="Sí",M24="Alto",M24="Crítico"),"Sí",IF(M24="Sin evaluar","Pendiente","Valorar")))</f>
        <v/>
      </c>
      <c r="O24" s="8" t="n"/>
      <c r="P24" s="8" t="n"/>
      <c r="Q24" s="10" t="n"/>
      <c r="R24" s="11">
        <f>IF(Q24="","",Q24+365)</f>
        <v/>
      </c>
      <c r="S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>
        <f>IF(B25="","",IF(OR(K25="Sí",J25="Sí",M25="Alto",M25="Crítico"),"Sí",IF(M25="Sin evaluar","Pendiente","Valorar")))</f>
        <v/>
      </c>
      <c r="O25" s="8" t="n"/>
      <c r="P25" s="8" t="n"/>
      <c r="Q25" s="10" t="n"/>
      <c r="R25" s="11">
        <f>IF(Q25="","",Q25+365)</f>
        <v/>
      </c>
      <c r="S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9">
        <f>IF(B26="","",IF(OR(K26="Sí",J26="Sí",M26="Alto",M26="Crítico"),"Sí",IF(M26="Sin evaluar","Pendiente","Valorar")))</f>
        <v/>
      </c>
      <c r="O26" s="8" t="n"/>
      <c r="P26" s="8" t="n"/>
      <c r="Q26" s="10" t="n"/>
      <c r="R26" s="11">
        <f>IF(Q26="","",Q26+365)</f>
        <v/>
      </c>
      <c r="S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9">
        <f>IF(B27="","",IF(OR(K27="Sí",J27="Sí",M27="Alto",M27="Crítico"),"Sí",IF(M27="Sin evaluar","Pendiente","Valorar")))</f>
        <v/>
      </c>
      <c r="O27" s="8" t="n"/>
      <c r="P27" s="8" t="n"/>
      <c r="Q27" s="10" t="n"/>
      <c r="R27" s="11">
        <f>IF(Q27="","",Q27+365)</f>
        <v/>
      </c>
      <c r="S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9">
        <f>IF(B28="","",IF(OR(K28="Sí",J28="Sí",M28="Alto",M28="Crítico"),"Sí",IF(M28="Sin evaluar","Pendiente","Valorar")))</f>
        <v/>
      </c>
      <c r="O28" s="8" t="n"/>
      <c r="P28" s="8" t="n"/>
      <c r="Q28" s="10" t="n"/>
      <c r="R28" s="11">
        <f>IF(Q28="","",Q28+365)</f>
        <v/>
      </c>
      <c r="S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9">
        <f>IF(B29="","",IF(OR(K29="Sí",J29="Sí",M29="Alto",M29="Crítico"),"Sí",IF(M29="Sin evaluar","Pendiente","Valorar")))</f>
        <v/>
      </c>
      <c r="O29" s="8" t="n"/>
      <c r="P29" s="8" t="n"/>
      <c r="Q29" s="10" t="n"/>
      <c r="R29" s="11">
        <f>IF(Q29="","",Q29+365)</f>
        <v/>
      </c>
      <c r="S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9">
        <f>IF(B30="","",IF(OR(K30="Sí",J30="Sí",M30="Alto",M30="Crítico"),"Sí",IF(M30="Sin evaluar","Pendiente","Valorar")))</f>
        <v/>
      </c>
      <c r="O30" s="8" t="n"/>
      <c r="P30" s="8" t="n"/>
      <c r="Q30" s="10" t="n"/>
      <c r="R30" s="11">
        <f>IF(Q30="","",Q30+365)</f>
        <v/>
      </c>
      <c r="S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9">
        <f>IF(B31="","",IF(OR(K31="Sí",J31="Sí",M31="Alto",M31="Crítico"),"Sí",IF(M31="Sin evaluar","Pendiente","Valorar")))</f>
        <v/>
      </c>
      <c r="O31" s="8" t="n"/>
      <c r="P31" s="8" t="n"/>
      <c r="Q31" s="10" t="n"/>
      <c r="R31" s="11">
        <f>IF(Q31="","",Q31+365)</f>
        <v/>
      </c>
      <c r="S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9">
        <f>IF(B32="","",IF(OR(K32="Sí",J32="Sí",M32="Alto",M32="Crítico"),"Sí",IF(M32="Sin evaluar","Pendiente","Valorar")))</f>
        <v/>
      </c>
      <c r="O32" s="8" t="n"/>
      <c r="P32" s="8" t="n"/>
      <c r="Q32" s="10" t="n"/>
      <c r="R32" s="11">
        <f>IF(Q32="","",Q32+365)</f>
        <v/>
      </c>
      <c r="S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9">
        <f>IF(B33="","",IF(OR(K33="Sí",J33="Sí",M33="Alto",M33="Crítico"),"Sí",IF(M33="Sin evaluar","Pendiente","Valorar")))</f>
        <v/>
      </c>
      <c r="O33" s="8" t="n"/>
      <c r="P33" s="8" t="n"/>
      <c r="Q33" s="10" t="n"/>
      <c r="R33" s="11">
        <f>IF(Q33="","",Q33+365)</f>
        <v/>
      </c>
      <c r="S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9">
        <f>IF(B34="","",IF(OR(K34="Sí",J34="Sí",M34="Alto",M34="Crítico"),"Sí",IF(M34="Sin evaluar","Pendiente","Valorar")))</f>
        <v/>
      </c>
      <c r="O34" s="8" t="n"/>
      <c r="P34" s="8" t="n"/>
      <c r="Q34" s="10" t="n"/>
      <c r="R34" s="11">
        <f>IF(Q34="","",Q34+365)</f>
        <v/>
      </c>
      <c r="S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9">
        <f>IF(B35="","",IF(OR(K35="Sí",J35="Sí",M35="Alto",M35="Crítico"),"Sí",IF(M35="Sin evaluar","Pendiente","Valorar")))</f>
        <v/>
      </c>
      <c r="O35" s="8" t="n"/>
      <c r="P35" s="8" t="n"/>
      <c r="Q35" s="10" t="n"/>
      <c r="R35" s="11">
        <f>IF(Q35="","",Q35+365)</f>
        <v/>
      </c>
      <c r="S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9">
        <f>IF(B36="","",IF(OR(K36="Sí",J36="Sí",M36="Alto",M36="Crítico"),"Sí",IF(M36="Sin evaluar","Pendiente","Valorar")))</f>
        <v/>
      </c>
      <c r="O36" s="8" t="n"/>
      <c r="P36" s="8" t="n"/>
      <c r="Q36" s="10" t="n"/>
      <c r="R36" s="11">
        <f>IF(Q36="","",Q36+365)</f>
        <v/>
      </c>
      <c r="S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9">
        <f>IF(B37="","",IF(OR(K37="Sí",J37="Sí",M37="Alto",M37="Crítico"),"Sí",IF(M37="Sin evaluar","Pendiente","Valorar")))</f>
        <v/>
      </c>
      <c r="O37" s="8" t="n"/>
      <c r="P37" s="8" t="n"/>
      <c r="Q37" s="10" t="n"/>
      <c r="R37" s="11">
        <f>IF(Q37="","",Q37+365)</f>
        <v/>
      </c>
      <c r="S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9">
        <f>IF(B38="","",IF(OR(K38="Sí",J38="Sí",M38="Alto",M38="Crítico"),"Sí",IF(M38="Sin evaluar","Pendiente","Valorar")))</f>
        <v/>
      </c>
      <c r="O38" s="8" t="n"/>
      <c r="P38" s="8" t="n"/>
      <c r="Q38" s="10" t="n"/>
      <c r="R38" s="11">
        <f>IF(Q38="","",Q38+365)</f>
        <v/>
      </c>
      <c r="S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9">
        <f>IF(B39="","",IF(OR(K39="Sí",J39="Sí",M39="Alto",M39="Crítico"),"Sí",IF(M39="Sin evaluar","Pendiente","Valorar")))</f>
        <v/>
      </c>
      <c r="O39" s="8" t="n"/>
      <c r="P39" s="8" t="n"/>
      <c r="Q39" s="10" t="n"/>
      <c r="R39" s="11">
        <f>IF(Q39="","",Q39+365)</f>
        <v/>
      </c>
      <c r="S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9">
        <f>IF(B40="","",IF(OR(K40="Sí",J40="Sí",M40="Alto",M40="Crítico"),"Sí",IF(M40="Sin evaluar","Pendiente","Valorar")))</f>
        <v/>
      </c>
      <c r="O40" s="8" t="n"/>
      <c r="P40" s="8" t="n"/>
      <c r="Q40" s="10" t="n"/>
      <c r="R40" s="11">
        <f>IF(Q40="","",Q40+365)</f>
        <v/>
      </c>
      <c r="S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9">
        <f>IF(B41="","",IF(OR(K41="Sí",J41="Sí",M41="Alto",M41="Crítico"),"Sí",IF(M41="Sin evaluar","Pendiente","Valorar")))</f>
        <v/>
      </c>
      <c r="O41" s="8" t="n"/>
      <c r="P41" s="8" t="n"/>
      <c r="Q41" s="10" t="n"/>
      <c r="R41" s="11">
        <f>IF(Q41="","",Q41+365)</f>
        <v/>
      </c>
      <c r="S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9">
        <f>IF(B42="","",IF(OR(K42="Sí",J42="Sí",M42="Alto",M42="Crítico"),"Sí",IF(M42="Sin evaluar","Pendiente","Valorar")))</f>
        <v/>
      </c>
      <c r="O42" s="8" t="n"/>
      <c r="P42" s="8" t="n"/>
      <c r="Q42" s="10" t="n"/>
      <c r="R42" s="11">
        <f>IF(Q42="","",Q42+365)</f>
        <v/>
      </c>
      <c r="S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9">
        <f>IF(B43="","",IF(OR(K43="Sí",J43="Sí",M43="Alto",M43="Crítico"),"Sí",IF(M43="Sin evaluar","Pendiente","Valorar")))</f>
        <v/>
      </c>
      <c r="O43" s="8" t="n"/>
      <c r="P43" s="8" t="n"/>
      <c r="Q43" s="10" t="n"/>
      <c r="R43" s="11">
        <f>IF(Q43="","",Q43+365)</f>
        <v/>
      </c>
      <c r="S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9">
        <f>IF(B44="","",IF(OR(K44="Sí",J44="Sí",M44="Alto",M44="Crítico"),"Sí",IF(M44="Sin evaluar","Pendiente","Valorar")))</f>
        <v/>
      </c>
      <c r="O44" s="8" t="n"/>
      <c r="P44" s="8" t="n"/>
      <c r="Q44" s="10" t="n"/>
      <c r="R44" s="11">
        <f>IF(Q44="","",Q44+365)</f>
        <v/>
      </c>
      <c r="S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9">
        <f>IF(B45="","",IF(OR(K45="Sí",J45="Sí",M45="Alto",M45="Crítico"),"Sí",IF(M45="Sin evaluar","Pendiente","Valorar")))</f>
        <v/>
      </c>
      <c r="O45" s="8" t="n"/>
      <c r="P45" s="8" t="n"/>
      <c r="Q45" s="10" t="n"/>
      <c r="R45" s="11">
        <f>IF(Q45="","",Q45+365)</f>
        <v/>
      </c>
      <c r="S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9">
        <f>IF(B46="","",IF(OR(K46="Sí",J46="Sí",M46="Alto",M46="Crítico"),"Sí",IF(M46="Sin evaluar","Pendiente","Valorar")))</f>
        <v/>
      </c>
      <c r="O46" s="8" t="n"/>
      <c r="P46" s="8" t="n"/>
      <c r="Q46" s="10" t="n"/>
      <c r="R46" s="11">
        <f>IF(Q46="","",Q46+365)</f>
        <v/>
      </c>
      <c r="S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9">
        <f>IF(B47="","",IF(OR(K47="Sí",J47="Sí",M47="Alto",M47="Crítico"),"Sí",IF(M47="Sin evaluar","Pendiente","Valorar")))</f>
        <v/>
      </c>
      <c r="O47" s="8" t="n"/>
      <c r="P47" s="8" t="n"/>
      <c r="Q47" s="10" t="n"/>
      <c r="R47" s="11">
        <f>IF(Q47="","",Q47+365)</f>
        <v/>
      </c>
      <c r="S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9">
        <f>IF(B48="","",IF(OR(K48="Sí",J48="Sí",M48="Alto",M48="Crítico"),"Sí",IF(M48="Sin evaluar","Pendiente","Valorar")))</f>
        <v/>
      </c>
      <c r="O48" s="8" t="n"/>
      <c r="P48" s="8" t="n"/>
      <c r="Q48" s="10" t="n"/>
      <c r="R48" s="11">
        <f>IF(Q48="","",Q48+365)</f>
        <v/>
      </c>
      <c r="S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9">
        <f>IF(B49="","",IF(OR(K49="Sí",J49="Sí",M49="Alto",M49="Crítico"),"Sí",IF(M49="Sin evaluar","Pendiente","Valorar")))</f>
        <v/>
      </c>
      <c r="O49" s="8" t="n"/>
      <c r="P49" s="8" t="n"/>
      <c r="Q49" s="10" t="n"/>
      <c r="R49" s="11">
        <f>IF(Q49="","",Q49+365)</f>
        <v/>
      </c>
      <c r="S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9">
        <f>IF(B50="","",IF(OR(K50="Sí",J50="Sí",M50="Alto",M50="Crítico"),"Sí",IF(M50="Sin evaluar","Pendiente","Valorar")))</f>
        <v/>
      </c>
      <c r="O50" s="8" t="n"/>
      <c r="P50" s="8" t="n"/>
      <c r="Q50" s="10" t="n"/>
      <c r="R50" s="11">
        <f>IF(Q50="","",Q50+365)</f>
        <v/>
      </c>
      <c r="S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9">
        <f>IF(B51="","",IF(OR(K51="Sí",J51="Sí",M51="Alto",M51="Crítico"),"Sí",IF(M51="Sin evaluar","Pendiente","Valorar")))</f>
        <v/>
      </c>
      <c r="O51" s="8" t="n"/>
      <c r="P51" s="8" t="n"/>
      <c r="Q51" s="10" t="n"/>
      <c r="R51" s="11">
        <f>IF(Q51="","",Q51+365)</f>
        <v/>
      </c>
      <c r="S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9">
        <f>IF(B52="","",IF(OR(K52="Sí",J52="Sí",M52="Alto",M52="Crítico"),"Sí",IF(M52="Sin evaluar","Pendiente","Valorar")))</f>
        <v/>
      </c>
      <c r="O52" s="8" t="n"/>
      <c r="P52" s="8" t="n"/>
      <c r="Q52" s="10" t="n"/>
      <c r="R52" s="11">
        <f>IF(Q52="","",Q52+365)</f>
        <v/>
      </c>
      <c r="S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9">
        <f>IF(B53="","",IF(OR(K53="Sí",J53="Sí",M53="Alto",M53="Crítico"),"Sí",IF(M53="Sin evaluar","Pendiente","Valorar")))</f>
        <v/>
      </c>
      <c r="O53" s="8" t="n"/>
      <c r="P53" s="8" t="n"/>
      <c r="Q53" s="10" t="n"/>
      <c r="R53" s="11">
        <f>IF(Q53="","",Q53+365)</f>
        <v/>
      </c>
      <c r="S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9">
        <f>IF(B54="","",IF(OR(K54="Sí",J54="Sí",M54="Alto",M54="Crítico"),"Sí",IF(M54="Sin evaluar","Pendiente","Valorar")))</f>
        <v/>
      </c>
      <c r="O54" s="8" t="n"/>
      <c r="P54" s="8" t="n"/>
      <c r="Q54" s="10" t="n"/>
      <c r="R54" s="11">
        <f>IF(Q54="","",Q54+365)</f>
        <v/>
      </c>
      <c r="S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9">
        <f>IF(B55="","",IF(OR(K55="Sí",J55="Sí",M55="Alto",M55="Crítico"),"Sí",IF(M55="Sin evaluar","Pendiente","Valorar")))</f>
        <v/>
      </c>
      <c r="O55" s="8" t="n"/>
      <c r="P55" s="8" t="n"/>
      <c r="Q55" s="10" t="n"/>
      <c r="R55" s="11">
        <f>IF(Q55="","",Q55+365)</f>
        <v/>
      </c>
      <c r="S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9">
        <f>IF(B56="","",IF(OR(K56="Sí",J56="Sí",M56="Alto",M56="Crítico"),"Sí",IF(M56="Sin evaluar","Pendiente","Valorar")))</f>
        <v/>
      </c>
      <c r="O56" s="8" t="n"/>
      <c r="P56" s="8" t="n"/>
      <c r="Q56" s="10" t="n"/>
      <c r="R56" s="11">
        <f>IF(Q56="","",Q56+365)</f>
        <v/>
      </c>
      <c r="S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9">
        <f>IF(B57="","",IF(OR(K57="Sí",J57="Sí",M57="Alto",M57="Crítico"),"Sí",IF(M57="Sin evaluar","Pendiente","Valorar")))</f>
        <v/>
      </c>
      <c r="O57" s="8" t="n"/>
      <c r="P57" s="8" t="n"/>
      <c r="Q57" s="10" t="n"/>
      <c r="R57" s="11">
        <f>IF(Q57="","",Q57+365)</f>
        <v/>
      </c>
      <c r="S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9">
        <f>IF(B58="","",IF(OR(K58="Sí",J58="Sí",M58="Alto",M58="Crítico"),"Sí",IF(M58="Sin evaluar","Pendiente","Valorar")))</f>
        <v/>
      </c>
      <c r="O58" s="8" t="n"/>
      <c r="P58" s="8" t="n"/>
      <c r="Q58" s="10" t="n"/>
      <c r="R58" s="11">
        <f>IF(Q58="","",Q58+365)</f>
        <v/>
      </c>
      <c r="S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9">
        <f>IF(B59="","",IF(OR(K59="Sí",J59="Sí",M59="Alto",M59="Crítico"),"Sí",IF(M59="Sin evaluar","Pendiente","Valorar")))</f>
        <v/>
      </c>
      <c r="O59" s="8" t="n"/>
      <c r="P59" s="8" t="n"/>
      <c r="Q59" s="10" t="n"/>
      <c r="R59" s="11">
        <f>IF(Q59="","",Q59+365)</f>
        <v/>
      </c>
      <c r="S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9">
        <f>IF(B60="","",IF(OR(K60="Sí",J60="Sí",M60="Alto",M60="Crítico"),"Sí",IF(M60="Sin evaluar","Pendiente","Valorar")))</f>
        <v/>
      </c>
      <c r="O60" s="8" t="n"/>
      <c r="P60" s="8" t="n"/>
      <c r="Q60" s="10" t="n"/>
      <c r="R60" s="11">
        <f>IF(Q60="","",Q60+365)</f>
        <v/>
      </c>
      <c r="S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9">
        <f>IF(B61="","",IF(OR(K61="Sí",J61="Sí",M61="Alto",M61="Crítico"),"Sí",IF(M61="Sin evaluar","Pendiente","Valorar")))</f>
        <v/>
      </c>
      <c r="O61" s="8" t="n"/>
      <c r="P61" s="8" t="n"/>
      <c r="Q61" s="10" t="n"/>
      <c r="R61" s="11">
        <f>IF(Q61="","",Q61+365)</f>
        <v/>
      </c>
      <c r="S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9">
        <f>IF(B62="","",IF(OR(K62="Sí",J62="Sí",M62="Alto",M62="Crítico"),"Sí",IF(M62="Sin evaluar","Pendiente","Valorar")))</f>
        <v/>
      </c>
      <c r="O62" s="8" t="n"/>
      <c r="P62" s="8" t="n"/>
      <c r="Q62" s="10" t="n"/>
      <c r="R62" s="11">
        <f>IF(Q62="","",Q62+365)</f>
        <v/>
      </c>
      <c r="S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9">
        <f>IF(B63="","",IF(OR(K63="Sí",J63="Sí",M63="Alto",M63="Crítico"),"Sí",IF(M63="Sin evaluar","Pendiente","Valorar")))</f>
        <v/>
      </c>
      <c r="O63" s="8" t="n"/>
      <c r="P63" s="8" t="n"/>
      <c r="Q63" s="10" t="n"/>
      <c r="R63" s="11">
        <f>IF(Q63="","",Q63+365)</f>
        <v/>
      </c>
      <c r="S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9">
        <f>IF(B64="","",IF(OR(K64="Sí",J64="Sí",M64="Alto",M64="Crítico"),"Sí",IF(M64="Sin evaluar","Pendiente","Valorar")))</f>
        <v/>
      </c>
      <c r="O64" s="8" t="n"/>
      <c r="P64" s="8" t="n"/>
      <c r="Q64" s="10" t="n"/>
      <c r="R64" s="11">
        <f>IF(Q64="","",Q64+365)</f>
        <v/>
      </c>
      <c r="S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9">
        <f>IF(B65="","",IF(OR(K65="Sí",J65="Sí",M65="Alto",M65="Crítico"),"Sí",IF(M65="Sin evaluar","Pendiente","Valorar")))</f>
        <v/>
      </c>
      <c r="O65" s="8" t="n"/>
      <c r="P65" s="8" t="n"/>
      <c r="Q65" s="10" t="n"/>
      <c r="R65" s="11">
        <f>IF(Q65="","",Q65+365)</f>
        <v/>
      </c>
      <c r="S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9">
        <f>IF(B66="","",IF(OR(K66="Sí",J66="Sí",M66="Alto",M66="Crítico"),"Sí",IF(M66="Sin evaluar","Pendiente","Valorar")))</f>
        <v/>
      </c>
      <c r="O66" s="8" t="n"/>
      <c r="P66" s="8" t="n"/>
      <c r="Q66" s="10" t="n"/>
      <c r="R66" s="11">
        <f>IF(Q66="","",Q66+365)</f>
        <v/>
      </c>
      <c r="S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9">
        <f>IF(B67="","",IF(OR(K67="Sí",J67="Sí",M67="Alto",M67="Crítico"),"Sí",IF(M67="Sin evaluar","Pendiente","Valorar")))</f>
        <v/>
      </c>
      <c r="O67" s="8" t="n"/>
      <c r="P67" s="8" t="n"/>
      <c r="Q67" s="10" t="n"/>
      <c r="R67" s="11">
        <f>IF(Q67="","",Q67+365)</f>
        <v/>
      </c>
      <c r="S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9">
        <f>IF(B68="","",IF(OR(K68="Sí",J68="Sí",M68="Alto",M68="Crítico"),"Sí",IF(M68="Sin evaluar","Pendiente","Valorar")))</f>
        <v/>
      </c>
      <c r="O68" s="8" t="n"/>
      <c r="P68" s="8" t="n"/>
      <c r="Q68" s="10" t="n"/>
      <c r="R68" s="11">
        <f>IF(Q68="","",Q68+365)</f>
        <v/>
      </c>
      <c r="S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9">
        <f>IF(B69="","",IF(OR(K69="Sí",J69="Sí",M69="Alto",M69="Crítico"),"Sí",IF(M69="Sin evaluar","Pendiente","Valorar")))</f>
        <v/>
      </c>
      <c r="O69" s="8" t="n"/>
      <c r="P69" s="8" t="n"/>
      <c r="Q69" s="10" t="n"/>
      <c r="R69" s="11">
        <f>IF(Q69="","",Q69+365)</f>
        <v/>
      </c>
      <c r="S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9">
        <f>IF(B70="","",IF(OR(K70="Sí",J70="Sí",M70="Alto",M70="Crítico"),"Sí",IF(M70="Sin evaluar","Pendiente","Valorar")))</f>
        <v/>
      </c>
      <c r="O70" s="8" t="n"/>
      <c r="P70" s="8" t="n"/>
      <c r="Q70" s="10" t="n"/>
      <c r="R70" s="11">
        <f>IF(Q70="","",Q70+365)</f>
        <v/>
      </c>
      <c r="S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9">
        <f>IF(B71="","",IF(OR(K71="Sí",J71="Sí",M71="Alto",M71="Crítico"),"Sí",IF(M71="Sin evaluar","Pendiente","Valorar")))</f>
        <v/>
      </c>
      <c r="O71" s="8" t="n"/>
      <c r="P71" s="8" t="n"/>
      <c r="Q71" s="10" t="n"/>
      <c r="R71" s="11">
        <f>IF(Q71="","",Q71+365)</f>
        <v/>
      </c>
      <c r="S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9">
        <f>IF(B72="","",IF(OR(K72="Sí",J72="Sí",M72="Alto",M72="Crítico"),"Sí",IF(M72="Sin evaluar","Pendiente","Valorar")))</f>
        <v/>
      </c>
      <c r="O72" s="8" t="n"/>
      <c r="P72" s="8" t="n"/>
      <c r="Q72" s="10" t="n"/>
      <c r="R72" s="11">
        <f>IF(Q72="","",Q72+365)</f>
        <v/>
      </c>
      <c r="S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9">
        <f>IF(B73="","",IF(OR(K73="Sí",J73="Sí",M73="Alto",M73="Crítico"),"Sí",IF(M73="Sin evaluar","Pendiente","Valorar")))</f>
        <v/>
      </c>
      <c r="O73" s="8" t="n"/>
      <c r="P73" s="8" t="n"/>
      <c r="Q73" s="10" t="n"/>
      <c r="R73" s="11">
        <f>IF(Q73="","",Q73+365)</f>
        <v/>
      </c>
      <c r="S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9">
        <f>IF(B74="","",IF(OR(K74="Sí",J74="Sí",M74="Alto",M74="Crítico"),"Sí",IF(M74="Sin evaluar","Pendiente","Valorar")))</f>
        <v/>
      </c>
      <c r="O74" s="8" t="n"/>
      <c r="P74" s="8" t="n"/>
      <c r="Q74" s="10" t="n"/>
      <c r="R74" s="11">
        <f>IF(Q74="","",Q74+365)</f>
        <v/>
      </c>
      <c r="S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9">
        <f>IF(B75="","",IF(OR(K75="Sí",J75="Sí",M75="Alto",M75="Crítico"),"Sí",IF(M75="Sin evaluar","Pendiente","Valorar")))</f>
        <v/>
      </c>
      <c r="O75" s="8" t="n"/>
      <c r="P75" s="8" t="n"/>
      <c r="Q75" s="10" t="n"/>
      <c r="R75" s="11">
        <f>IF(Q75="","",Q75+365)</f>
        <v/>
      </c>
      <c r="S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9">
        <f>IF(B76="","",IF(OR(K76="Sí",J76="Sí",M76="Alto",M76="Crítico"),"Sí",IF(M76="Sin evaluar","Pendiente","Valorar")))</f>
        <v/>
      </c>
      <c r="O76" s="8" t="n"/>
      <c r="P76" s="8" t="n"/>
      <c r="Q76" s="10" t="n"/>
      <c r="R76" s="11">
        <f>IF(Q76="","",Q76+365)</f>
        <v/>
      </c>
      <c r="S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9">
        <f>IF(B77="","",IF(OR(K77="Sí",J77="Sí",M77="Alto",M77="Crítico"),"Sí",IF(M77="Sin evaluar","Pendiente","Valorar")))</f>
        <v/>
      </c>
      <c r="O77" s="8" t="n"/>
      <c r="P77" s="8" t="n"/>
      <c r="Q77" s="10" t="n"/>
      <c r="R77" s="11">
        <f>IF(Q77="","",Q77+365)</f>
        <v/>
      </c>
      <c r="S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9">
        <f>IF(B78="","",IF(OR(K78="Sí",J78="Sí",M78="Alto",M78="Crítico"),"Sí",IF(M78="Sin evaluar","Pendiente","Valorar")))</f>
        <v/>
      </c>
      <c r="O78" s="8" t="n"/>
      <c r="P78" s="8" t="n"/>
      <c r="Q78" s="10" t="n"/>
      <c r="R78" s="11">
        <f>IF(Q78="","",Q78+365)</f>
        <v/>
      </c>
      <c r="S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9">
        <f>IF(B79="","",IF(OR(K79="Sí",J79="Sí",M79="Alto",M79="Crítico"),"Sí",IF(M79="Sin evaluar","Pendiente","Valorar")))</f>
        <v/>
      </c>
      <c r="O79" s="8" t="n"/>
      <c r="P79" s="8" t="n"/>
      <c r="Q79" s="10" t="n"/>
      <c r="R79" s="11">
        <f>IF(Q79="","",Q79+365)</f>
        <v/>
      </c>
      <c r="S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9">
        <f>IF(B80="","",IF(OR(K80="Sí",J80="Sí",M80="Alto",M80="Crítico"),"Sí",IF(M80="Sin evaluar","Pendiente","Valorar")))</f>
        <v/>
      </c>
      <c r="O80" s="8" t="n"/>
      <c r="P80" s="8" t="n"/>
      <c r="Q80" s="10" t="n"/>
      <c r="R80" s="11">
        <f>IF(Q80="","",Q80+365)</f>
        <v/>
      </c>
      <c r="S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9">
        <f>IF(B81="","",IF(OR(K81="Sí",J81="Sí",M81="Alto",M81="Crítico"),"Sí",IF(M81="Sin evaluar","Pendiente","Valorar")))</f>
        <v/>
      </c>
      <c r="O81" s="8" t="n"/>
      <c r="P81" s="8" t="n"/>
      <c r="Q81" s="10" t="n"/>
      <c r="R81" s="11">
        <f>IF(Q81="","",Q81+365)</f>
        <v/>
      </c>
      <c r="S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9">
        <f>IF(B82="","",IF(OR(K82="Sí",J82="Sí",M82="Alto",M82="Crítico"),"Sí",IF(M82="Sin evaluar","Pendiente","Valorar")))</f>
        <v/>
      </c>
      <c r="O82" s="8" t="n"/>
      <c r="P82" s="8" t="n"/>
      <c r="Q82" s="10" t="n"/>
      <c r="R82" s="11">
        <f>IF(Q82="","",Q82+365)</f>
        <v/>
      </c>
      <c r="S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9">
        <f>IF(B83="","",IF(OR(K83="Sí",J83="Sí",M83="Alto",M83="Crítico"),"Sí",IF(M83="Sin evaluar","Pendiente","Valorar")))</f>
        <v/>
      </c>
      <c r="O83" s="8" t="n"/>
      <c r="P83" s="8" t="n"/>
      <c r="Q83" s="10" t="n"/>
      <c r="R83" s="11">
        <f>IF(Q83="","",Q83+365)</f>
        <v/>
      </c>
      <c r="S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9">
        <f>IF(B84="","",IF(OR(K84="Sí",J84="Sí",M84="Alto",M84="Crítico"),"Sí",IF(M84="Sin evaluar","Pendiente","Valorar")))</f>
        <v/>
      </c>
      <c r="O84" s="8" t="n"/>
      <c r="P84" s="8" t="n"/>
      <c r="Q84" s="10" t="n"/>
      <c r="R84" s="11">
        <f>IF(Q84="","",Q84+365)</f>
        <v/>
      </c>
      <c r="S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9">
        <f>IF(B85="","",IF(OR(K85="Sí",J85="Sí",M85="Alto",M85="Crítico"),"Sí",IF(M85="Sin evaluar","Pendiente","Valorar")))</f>
        <v/>
      </c>
      <c r="O85" s="8" t="n"/>
      <c r="P85" s="8" t="n"/>
      <c r="Q85" s="10" t="n"/>
      <c r="R85" s="11">
        <f>IF(Q85="","",Q85+365)</f>
        <v/>
      </c>
      <c r="S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9">
        <f>IF(B86="","",IF(OR(K86="Sí",J86="Sí",M86="Alto",M86="Crítico"),"Sí",IF(M86="Sin evaluar","Pendiente","Valorar")))</f>
        <v/>
      </c>
      <c r="O86" s="8" t="n"/>
      <c r="P86" s="8" t="n"/>
      <c r="Q86" s="10" t="n"/>
      <c r="R86" s="11">
        <f>IF(Q86="","",Q86+365)</f>
        <v/>
      </c>
      <c r="S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9">
        <f>IF(B87="","",IF(OR(K87="Sí",J87="Sí",M87="Alto",M87="Crítico"),"Sí",IF(M87="Sin evaluar","Pendiente","Valorar")))</f>
        <v/>
      </c>
      <c r="O87" s="8" t="n"/>
      <c r="P87" s="8" t="n"/>
      <c r="Q87" s="10" t="n"/>
      <c r="R87" s="11">
        <f>IF(Q87="","",Q87+365)</f>
        <v/>
      </c>
      <c r="S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9">
        <f>IF(B88="","",IF(OR(K88="Sí",J88="Sí",M88="Alto",M88="Crítico"),"Sí",IF(M88="Sin evaluar","Pendiente","Valorar")))</f>
        <v/>
      </c>
      <c r="O88" s="8" t="n"/>
      <c r="P88" s="8" t="n"/>
      <c r="Q88" s="10" t="n"/>
      <c r="R88" s="11">
        <f>IF(Q88="","",Q88+365)</f>
        <v/>
      </c>
      <c r="S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9">
        <f>IF(B89="","",IF(OR(K89="Sí",J89="Sí",M89="Alto",M89="Crítico"),"Sí",IF(M89="Sin evaluar","Pendiente","Valorar")))</f>
        <v/>
      </c>
      <c r="O89" s="8" t="n"/>
      <c r="P89" s="8" t="n"/>
      <c r="Q89" s="10" t="n"/>
      <c r="R89" s="11">
        <f>IF(Q89="","",Q89+365)</f>
        <v/>
      </c>
      <c r="S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9">
        <f>IF(B90="","",IF(OR(K90="Sí",J90="Sí",M90="Alto",M90="Crítico"),"Sí",IF(M90="Sin evaluar","Pendiente","Valorar")))</f>
        <v/>
      </c>
      <c r="O90" s="8" t="n"/>
      <c r="P90" s="8" t="n"/>
      <c r="Q90" s="10" t="n"/>
      <c r="R90" s="11">
        <f>IF(Q90="","",Q90+365)</f>
        <v/>
      </c>
      <c r="S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9">
        <f>IF(B91="","",IF(OR(K91="Sí",J91="Sí",M91="Alto",M91="Crítico"),"Sí",IF(M91="Sin evaluar","Pendiente","Valorar")))</f>
        <v/>
      </c>
      <c r="O91" s="8" t="n"/>
      <c r="P91" s="8" t="n"/>
      <c r="Q91" s="10" t="n"/>
      <c r="R91" s="11">
        <f>IF(Q91="","",Q91+365)</f>
        <v/>
      </c>
      <c r="S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9">
        <f>IF(B92="","",IF(OR(K92="Sí",J92="Sí",M92="Alto",M92="Crítico"),"Sí",IF(M92="Sin evaluar","Pendiente","Valorar")))</f>
        <v/>
      </c>
      <c r="O92" s="8" t="n"/>
      <c r="P92" s="8" t="n"/>
      <c r="Q92" s="10" t="n"/>
      <c r="R92" s="11">
        <f>IF(Q92="","",Q92+365)</f>
        <v/>
      </c>
      <c r="S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9">
        <f>IF(B93="","",IF(OR(K93="Sí",J93="Sí",M93="Alto",M93="Crítico"),"Sí",IF(M93="Sin evaluar","Pendiente","Valorar")))</f>
        <v/>
      </c>
      <c r="O93" s="8" t="n"/>
      <c r="P93" s="8" t="n"/>
      <c r="Q93" s="10" t="n"/>
      <c r="R93" s="11">
        <f>IF(Q93="","",Q93+365)</f>
        <v/>
      </c>
      <c r="S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9">
        <f>IF(B94="","",IF(OR(K94="Sí",J94="Sí",M94="Alto",M94="Crítico"),"Sí",IF(M94="Sin evaluar","Pendiente","Valorar")))</f>
        <v/>
      </c>
      <c r="O94" s="8" t="n"/>
      <c r="P94" s="8" t="n"/>
      <c r="Q94" s="10" t="n"/>
      <c r="R94" s="11">
        <f>IF(Q94="","",Q94+365)</f>
        <v/>
      </c>
      <c r="S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9">
        <f>IF(B95="","",IF(OR(K95="Sí",J95="Sí",M95="Alto",M95="Crítico"),"Sí",IF(M95="Sin evaluar","Pendiente","Valorar")))</f>
        <v/>
      </c>
      <c r="O95" s="8" t="n"/>
      <c r="P95" s="8" t="n"/>
      <c r="Q95" s="10" t="n"/>
      <c r="R95" s="11">
        <f>IF(Q95="","",Q95+365)</f>
        <v/>
      </c>
      <c r="S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9">
        <f>IF(B96="","",IF(OR(K96="Sí",J96="Sí",M96="Alto",M96="Crítico"),"Sí",IF(M96="Sin evaluar","Pendiente","Valorar")))</f>
        <v/>
      </c>
      <c r="O96" s="8" t="n"/>
      <c r="P96" s="8" t="n"/>
      <c r="Q96" s="10" t="n"/>
      <c r="R96" s="11">
        <f>IF(Q96="","",Q96+365)</f>
        <v/>
      </c>
      <c r="S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9">
        <f>IF(B97="","",IF(OR(K97="Sí",J97="Sí",M97="Alto",M97="Crítico"),"Sí",IF(M97="Sin evaluar","Pendiente","Valorar")))</f>
        <v/>
      </c>
      <c r="O97" s="8" t="n"/>
      <c r="P97" s="8" t="n"/>
      <c r="Q97" s="10" t="n"/>
      <c r="R97" s="11">
        <f>IF(Q97="","",Q97+365)</f>
        <v/>
      </c>
      <c r="S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9">
        <f>IF(B98="","",IF(OR(K98="Sí",J98="Sí",M98="Alto",M98="Crítico"),"Sí",IF(M98="Sin evaluar","Pendiente","Valorar")))</f>
        <v/>
      </c>
      <c r="O98" s="8" t="n"/>
      <c r="P98" s="8" t="n"/>
      <c r="Q98" s="10" t="n"/>
      <c r="R98" s="11">
        <f>IF(Q98="","",Q98+365)</f>
        <v/>
      </c>
      <c r="S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9">
        <f>IF(B99="","",IF(OR(K99="Sí",J99="Sí",M99="Alto",M99="Crítico"),"Sí",IF(M99="Sin evaluar","Pendiente","Valorar")))</f>
        <v/>
      </c>
      <c r="O99" s="8" t="n"/>
      <c r="P99" s="8" t="n"/>
      <c r="Q99" s="10" t="n"/>
      <c r="R99" s="11">
        <f>IF(Q99="","",Q99+365)</f>
        <v/>
      </c>
      <c r="S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9">
        <f>IF(B100="","",IF(OR(K100="Sí",J100="Sí",M100="Alto",M100="Crítico"),"Sí",IF(M100="Sin evaluar","Pendiente","Valorar")))</f>
        <v/>
      </c>
      <c r="O100" s="8" t="n"/>
      <c r="P100" s="8" t="n"/>
      <c r="Q100" s="10" t="n"/>
      <c r="R100" s="11">
        <f>IF(Q100="","",Q100+365)</f>
        <v/>
      </c>
      <c r="S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9">
        <f>IF(B101="","",IF(OR(K101="Sí",J101="Sí",M101="Alto",M101="Crítico"),"Sí",IF(M101="Sin evaluar","Pendiente","Valorar")))</f>
        <v/>
      </c>
      <c r="O101" s="8" t="n"/>
      <c r="P101" s="8" t="n"/>
      <c r="Q101" s="10" t="n"/>
      <c r="R101" s="11">
        <f>IF(Q101="","",Q101+365)</f>
        <v/>
      </c>
      <c r="S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9">
        <f>IF(B102="","",IF(OR(K102="Sí",J102="Sí",M102="Alto",M102="Crítico"),"Sí",IF(M102="Sin evaluar","Pendiente","Valorar")))</f>
        <v/>
      </c>
      <c r="O102" s="8" t="n"/>
      <c r="P102" s="8" t="n"/>
      <c r="Q102" s="10" t="n"/>
      <c r="R102" s="11">
        <f>IF(Q102="","",Q102+365)</f>
        <v/>
      </c>
      <c r="S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9">
        <f>IF(B103="","",IF(OR(K103="Sí",J103="Sí",M103="Alto",M103="Crítico"),"Sí",IF(M103="Sin evaluar","Pendiente","Valorar")))</f>
        <v/>
      </c>
      <c r="O103" s="8" t="n"/>
      <c r="P103" s="8" t="n"/>
      <c r="Q103" s="10" t="n"/>
      <c r="R103" s="11">
        <f>IF(Q103="","",Q103+365)</f>
        <v/>
      </c>
      <c r="S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9">
        <f>IF(B104="","",IF(OR(K104="Sí",J104="Sí",M104="Alto",M104="Crítico"),"Sí",IF(M104="Sin evaluar","Pendiente","Valorar")))</f>
        <v/>
      </c>
      <c r="O104" s="8" t="n"/>
      <c r="P104" s="8" t="n"/>
      <c r="Q104" s="10" t="n"/>
      <c r="R104" s="11">
        <f>IF(Q104="","",Q104+365)</f>
        <v/>
      </c>
      <c r="S104" s="8" t="n"/>
    </row>
  </sheetData>
  <autoFilter ref="A4:S104"/>
  <conditionalFormatting sqref="M5:M104">
    <cfRule type="cellIs" priority="1" operator="equal" dxfId="0">
      <formula>"Bajo"</formula>
    </cfRule>
    <cfRule type="cellIs" priority="2" operator="equal" dxfId="1">
      <formula>"Medio"</formula>
    </cfRule>
    <cfRule type="cellIs" priority="3" operator="equal" dxfId="2">
      <formula>"Alto"</formula>
    </cfRule>
    <cfRule type="cellIs" priority="4" operator="equal" dxfId="3">
      <formula>"Crítico"</formula>
    </cfRule>
  </conditionalFormatting>
  <conditionalFormatting sqref="N5:N104">
    <cfRule type="cellIs" priority="5" operator="equal" dxfId="4">
      <formula>"Sí"</formula>
    </cfRule>
  </conditionalFormatting>
  <dataValidations count="8">
    <dataValidation sqref="D5:D104" showDropDown="0" showInputMessage="0" showErrorMessage="0" allowBlank="1" errorTitle="Valor no válido" error="Elige un valor de la lista." promptTitle="Ayuda" prompt="Rol según ISO/IEC 22989 (cláusula 4.1)." type="list">
      <formula1>=Listas!$A$2:$A$6</formula1>
    </dataValidation>
    <dataValidation sqref="E5:E104" showDropDown="0" showInputMessage="0" showErrorMessage="0" allowBlank="1" errorTitle="Valor no válido" error="Elige un valor de la lista." type="list">
      <formula1>=Listas!$F$2:$F$6</formula1>
    </dataValidation>
    <dataValidation sqref="G5:G104" showDropDown="0" showInputMessage="0" showErrorMessage="0" allowBlank="1" errorTitle="Valor no válido" error="Elige un valor de la lista." type="list">
      <formula1>=Listas!$B$2:$B$8</formula1>
    </dataValidation>
    <dataValidation sqref="I5:I104" showDropDown="0" showInputMessage="0" showErrorMessage="0" allowBlank="1" errorTitle="Valor no válido" error="Elige un valor de la lista." type="list">
      <formula1>=Listas!$C$2:$C$4</formula1>
    </dataValidation>
    <dataValidation sqref="J5:J104" showDropDown="0" showInputMessage="0" showErrorMessage="0" allowBlank="1" errorTitle="Valor no válido" error="Elige un valor de la lista." type="list">
      <formula1>=Listas!$C$2:$C$4</formula1>
    </dataValidation>
    <dataValidation sqref="K5:K104" showDropDown="0" showInputMessage="0" showErrorMessage="0" allowBlank="1" errorTitle="Valor no válido" error="Elige un valor de la lista." type="list">
      <formula1>=Listas!$C$2:$C$4</formula1>
    </dataValidation>
    <dataValidation sqref="M5:M104" showDropDown="0" showInputMessage="0" showErrorMessage="0" allowBlank="1" errorTitle="Valor no válido" error="Elige un valor de la lista." promptTitle="Ayuda" prompt="Resultado de la última evaluación de riesgos (6.1.2)." type="list">
      <formula1>=Listas!$D$2:$D$6</formula1>
    </dataValidation>
    <dataValidation sqref="P5:P104" showDropDown="0" showInputMessage="0" showErrorMessage="0" allowBlank="1" errorTitle="Valor no válido" error="Elige un valor de la lista." type="list">
      <formula1>=Listas!$E$2:$E$7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18" customWidth="1" min="4" max="4"/>
    <col width="18" customWidth="1" min="5" max="5"/>
    <col width="32" customWidth="1" min="6" max="6"/>
  </cols>
  <sheetData>
    <row r="1">
      <c r="A1" s="12" t="inlineStr">
        <is>
          <t>Rol</t>
        </is>
      </c>
      <c r="B1" s="12" t="inlineStr">
        <is>
          <t>Tipo</t>
        </is>
      </c>
      <c r="C1" s="12" t="inlineStr">
        <is>
          <t>SiNo</t>
        </is>
      </c>
      <c r="D1" s="12" t="inlineStr">
        <is>
          <t>Nivel</t>
        </is>
      </c>
      <c r="E1" s="12" t="inlineStr">
        <is>
          <t>Estado</t>
        </is>
      </c>
      <c r="F1" s="12" t="inlineStr">
        <is>
          <t>Origen</t>
        </is>
      </c>
    </row>
    <row r="2">
      <c r="A2" t="inlineStr">
        <is>
          <t>Cliente o usuario de IA</t>
        </is>
      </c>
      <c r="B2" t="inlineStr">
        <is>
          <t>IA generativa (LLM)</t>
        </is>
      </c>
      <c r="C2" t="inlineStr">
        <is>
          <t>Sí</t>
        </is>
      </c>
      <c r="D2" t="inlineStr">
        <is>
          <t>Bajo</t>
        </is>
      </c>
      <c r="E2" t="inlineStr">
        <is>
          <t>Propuesto</t>
        </is>
      </c>
      <c r="F2" t="inlineStr">
        <is>
          <t>Desarrollo propio</t>
        </is>
      </c>
    </row>
    <row r="3">
      <c r="A3" t="inlineStr">
        <is>
          <t>Productor de IA</t>
        </is>
      </c>
      <c r="B3" t="inlineStr">
        <is>
          <t>Aprendizaje automático predictivo</t>
        </is>
      </c>
      <c r="C3" t="inlineStr">
        <is>
          <t>No</t>
        </is>
      </c>
      <c r="D3" t="inlineStr">
        <is>
          <t>Medio</t>
        </is>
      </c>
      <c r="E3" t="inlineStr">
        <is>
          <t>En evaluación</t>
        </is>
      </c>
      <c r="F3" t="inlineStr">
        <is>
          <t>Proveedor externo (SaaS o API)</t>
        </is>
      </c>
    </row>
    <row r="4">
      <c r="A4" t="inlineStr">
        <is>
          <t>Proveedor de IA</t>
        </is>
      </c>
      <c r="B4" t="inlineStr">
        <is>
          <t>Visión por computadora</t>
        </is>
      </c>
      <c r="C4" t="inlineStr">
        <is>
          <t>No sé</t>
        </is>
      </c>
      <c r="D4" t="inlineStr">
        <is>
          <t>Alto</t>
        </is>
      </c>
      <c r="E4" t="inlineStr">
        <is>
          <t>Piloto</t>
        </is>
      </c>
      <c r="F4" t="inlineStr">
        <is>
          <t>Módulo dentro de otro producto</t>
        </is>
      </c>
    </row>
    <row r="5">
      <c r="A5" t="inlineStr">
        <is>
          <t>Socio de IA</t>
        </is>
      </c>
      <c r="B5" t="inlineStr">
        <is>
          <t>Procesamiento de voz</t>
        </is>
      </c>
      <c r="D5" t="inlineStr">
        <is>
          <t>Crítico</t>
        </is>
      </c>
      <c r="E5" t="inlineStr">
        <is>
          <t>En producción</t>
        </is>
      </c>
      <c r="F5" t="inlineStr">
        <is>
          <t>Código abierto adaptado</t>
        </is>
      </c>
    </row>
    <row r="6">
      <c r="A6" t="inlineStr">
        <is>
          <t>Varios roles</t>
        </is>
      </c>
      <c r="B6" t="inlineStr">
        <is>
          <t>Sistema de recomendación</t>
        </is>
      </c>
      <c r="D6" t="inlineStr">
        <is>
          <t>Sin evaluar</t>
        </is>
      </c>
      <c r="E6" t="inlineStr">
        <is>
          <t>Suspendido</t>
        </is>
      </c>
      <c r="F6" t="inlineStr">
        <is>
          <t>IA no autorizada detectada</t>
        </is>
      </c>
    </row>
    <row r="7">
      <c r="B7" t="inlineStr">
        <is>
          <t>Reglas con componentes de IA</t>
        </is>
      </c>
      <c r="E7" t="inlineStr">
        <is>
          <t>Retirado</t>
        </is>
      </c>
    </row>
    <row r="8">
      <c r="B8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Adrián Guzmán · Descifrando ISO 42001</dc:creator>
  <dc:title>Inventario de sistemas de IA</dc:title>
  <dc:description>Plantilla de apoyo de la guía Descifrando ISO 42001. Interpretación del autor; no sustituye a la norma ISO/IEC 42001 ni es asesoría legal. Los nombres de los controles son traducciones libres.</dc:description>
  <dcterms:created xsi:type="dcterms:W3CDTF">2026-10-09T20:45:22Z</dcterms:created>
  <dcterms:modified xsi:type="dcterms:W3CDTF">2026-10-09T20:45:22Z</dcterms:modified>
  <cp:keywords>ISO/IEC 42001; SGIA; plantilla</cp:keywords>
</cp:coreProperties>
</file>