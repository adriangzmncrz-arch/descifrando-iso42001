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oA" sheetId="2" state="visible" r:id="rId2"/>
    <sheet name="Resumen" sheetId="3" state="visible" r:id="rId3"/>
    <sheet name="Listas" sheetId="4" state="visible" r:id="rId4"/>
  </sheets>
  <definedNames>
    <definedName name="_xlnm._FilterDatabase" localSheetId="1" hidden="1">'SoA'!$A$4:$M$42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12E81"/>
      <sz val="16"/>
    </font>
    <font>
      <i val="1"/>
      <color rgb="00555555"/>
      <sz val="9"/>
    </font>
    <font>
      <color rgb="00555555"/>
      <sz val="9"/>
    </font>
    <font>
      <b val="1"/>
    </font>
    <font>
      <b val="1"/>
      <color rgb="00312E8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12E81"/>
      </patternFill>
    </fill>
    <fill>
      <patternFill patternType="solid">
        <fgColor rgb="00F4F5FB"/>
      </patternFill>
    </fill>
  </fills>
  <borders count="2">
    <border>
      <left/>
      <right/>
      <top/>
      <bottom/>
      <diagonal/>
    </border>
    <border>
      <left style="thin">
        <color rgb="00D9DCEF"/>
      </left>
      <right style="thin">
        <color rgb="00D9DCEF"/>
      </right>
      <top style="thin">
        <color rgb="00D9DCEF"/>
      </top>
      <bottom style="thin">
        <color rgb="00D9DCE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BBF7D0"/>
        </patternFill>
      </fill>
    </dxf>
    <dxf>
      <fill>
        <patternFill patternType="solid">
          <fgColor rgb="00FEF08A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Declaración de Aplicabilidad (SoA) · 38 controles del Anexo A</t>
        </is>
      </c>
    </row>
    <row r="2" ht="30" customHeight="1">
      <c r="A2" s="2" t="inlineStr">
        <is>
          <t>Plantilla de apoyo de la guía Descifrando ISO 42001. Interpretación del autor; no sustituye a la norma ISO/IEC 42001 ni es asesoría legal. Los nombres de los controles son traducciones libres.</t>
        </is>
      </c>
    </row>
    <row r="4">
      <c r="A4" s="3" t="inlineStr">
        <is>
          <t>1. Para cada control decide si aplica (Sí/No) a partir de tu evaluación de riesgos, tus evaluaciones de impacto y tus requisitos externos (6.1.3).</t>
        </is>
      </c>
    </row>
    <row r="5">
      <c r="A5" s="3" t="inlineStr">
        <is>
          <t>2. Justifica TODAS las inclusiones y exclusiones. Una exclusión puede apoyarse en que la evaluación de riesgos no lo requiere y ningún requisito externo lo exige; escribe el porqué concreto, no frases genéricas.</t>
        </is>
      </c>
    </row>
    <row r="6">
      <c r="A6" s="3" t="inlineStr">
        <is>
          <t>3. Indica el estado de implementación, los riesgos que trata (IDs del registro) y la evidencia real (ruta o enlace).</t>
        </is>
      </c>
    </row>
    <row r="7">
      <c r="A7" s="3" t="inlineStr">
        <is>
          <t>4. La columna Validación revisa la consistencia: avisa si falta decisión, justificación, estado o evidencia.</t>
        </is>
      </c>
    </row>
    <row r="8">
      <c r="A8" s="3" t="inlineStr">
        <is>
          <t>5. Si agregas controles propios fuera del Anexo A, añádelos al final con el prefijo 'P-'.</t>
        </is>
      </c>
    </row>
    <row r="9">
      <c r="A9" s="3" t="inlineStr">
        <is>
          <t>6. La columna 'Evidencia típica' es orientativa (interpretación del autor). La guía de cada control está en el sitio.</t>
        </is>
      </c>
    </row>
    <row r="10">
      <c r="A10" s="3" t="inlineStr">
        <is>
          <t>7. Los nombres de los controles son traducciones libres de referencia del autor.</t>
        </is>
      </c>
    </row>
    <row r="12">
      <c r="A12" s="4" t="inlineStr">
        <is>
          <t>Autor: Carlos Adrián Guzmán · Descifrando ISO 42001 · Licencia CC BY-SA 4.0 · https://adriangzmncrz-arch.github.io/descifrando-iso42001/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20" customWidth="1" min="4" max="4"/>
    <col width="9" customWidth="1" min="5" max="5"/>
    <col width="44" customWidth="1" min="6" max="6"/>
    <col width="15" customWidth="1" min="7" max="7"/>
    <col width="16" customWidth="1" min="8" max="8"/>
    <col width="40" customWidth="1" min="9" max="9"/>
    <col width="30" customWidth="1" min="10" max="10"/>
    <col width="18" customWidth="1" min="11" max="11"/>
    <col width="14" customWidth="1" min="12" max="12"/>
    <col width="26" customWidth="1" min="13" max="13"/>
  </cols>
  <sheetData>
    <row r="1">
      <c r="A1" s="5" t="inlineStr">
        <is>
          <t>Declaración de Aplicabilidad · ISO/IEC 42001 Anexo A</t>
        </is>
      </c>
    </row>
    <row r="2">
      <c r="A2" s="6" t="inlineStr">
        <is>
          <t>Organización: ____________________   Versión: ____   Aprobada por: ____________________   Fecha: ________</t>
        </is>
      </c>
    </row>
    <row r="4" ht="36" customHeight="1">
      <c r="A4" s="7" t="inlineStr">
        <is>
          <t>Control</t>
        </is>
      </c>
      <c r="B4" s="7" t="inlineStr">
        <is>
          <t>Nombre (traducción libre)</t>
        </is>
      </c>
      <c r="C4" s="7" t="inlineStr">
        <is>
          <t>Objetivo</t>
        </is>
      </c>
      <c r="D4" s="7" t="inlineStr">
        <is>
          <t>Aplica a (orientativo)</t>
        </is>
      </c>
      <c r="E4" s="7" t="inlineStr">
        <is>
          <t>¿Aplica?</t>
        </is>
      </c>
      <c r="F4" s="7" t="inlineStr">
        <is>
          <t>Justificación de inclusión o exclusión</t>
        </is>
      </c>
      <c r="G4" s="7" t="inlineStr">
        <is>
          <t>Estado de implementación</t>
        </is>
      </c>
      <c r="H4" s="7" t="inlineStr">
        <is>
          <t>Riesgos que trata (IDs)</t>
        </is>
      </c>
      <c r="I4" s="7" t="inlineStr">
        <is>
          <t>Evidencia típica (orientativa)</t>
        </is>
      </c>
      <c r="J4" s="7" t="inlineStr">
        <is>
          <t>Evidencia real (ruta o enlace)</t>
        </is>
      </c>
      <c r="K4" s="7" t="inlineStr">
        <is>
          <t>Responsable</t>
        </is>
      </c>
      <c r="L4" s="7" t="inlineStr">
        <is>
          <t>ISO 27001:2022 relacionado</t>
        </is>
      </c>
      <c r="M4" s="7" t="inlineStr">
        <is>
          <t>Validación</t>
        </is>
      </c>
    </row>
    <row r="5">
      <c r="A5" s="8" t="inlineStr">
        <is>
          <t>A.2.2</t>
        </is>
      </c>
      <c r="B5" s="8" t="inlineStr">
        <is>
          <t>Política de IA</t>
        </is>
      </c>
      <c r="C5" s="8" t="inlineStr">
        <is>
          <t>A.2 Políticas relacionadas con la IA</t>
        </is>
      </c>
      <c r="D5" s="8" t="inlineStr">
        <is>
          <t>Usa IA de terceros / Desarrolla IA / Provee IA a clientes</t>
        </is>
      </c>
      <c r="E5" s="8" t="n"/>
      <c r="F5" s="8" t="n"/>
      <c r="G5" s="8" t="n"/>
      <c r="H5" s="8" t="n"/>
      <c r="I5" s="8" t="inlineStr">
        <is>
          <t>Política de IA aprobada y vigente; registro de comunicación; procedimiento de excepciones.</t>
        </is>
      </c>
      <c r="J5" s="8" t="n"/>
      <c r="K5" s="8" t="n"/>
      <c r="L5" s="8" t="inlineStr">
        <is>
          <t>5.1</t>
        </is>
      </c>
      <c r="M5" s="9">
        <f>IF(E5="","Pendiente: decide si aplica",IF(F5="","Falta justificación",IF(AND(E5="Sí",G5=""),"Falta estado",IF(AND(E5="Sí",G5="No aplica"),"Inconsistente: aplica pero estado No aplica",IF(AND(E5="No",G5&lt;&gt;"",G5&lt;&gt;"No aplica"),"Inconsistente: excluido con estado",IF(AND(E5="Sí",G5="Implementado",J5=""),"Falta evidencia","OK"))))))</f>
        <v/>
      </c>
    </row>
    <row r="6">
      <c r="A6" s="8" t="inlineStr">
        <is>
          <t>A.2.3</t>
        </is>
      </c>
      <c r="B6" s="8" t="inlineStr">
        <is>
          <t>Alineación con otras políticas de la organización</t>
        </is>
      </c>
      <c r="C6" s="8" t="inlineStr">
        <is>
          <t>A.2 Políticas relacionadas con la IA</t>
        </is>
      </c>
      <c r="D6" s="8" t="inlineStr">
        <is>
          <t>Usa IA de terceros / Desarrolla IA / Provee IA a clientes</t>
        </is>
      </c>
      <c r="E6" s="8" t="n"/>
      <c r="F6" s="8" t="n"/>
      <c r="G6" s="8" t="n"/>
      <c r="H6" s="8" t="n"/>
      <c r="I6" s="8" t="inlineStr">
        <is>
          <t>Matriz de cruce entre políticas; políticas actualizadas con referencias a IA.</t>
        </is>
      </c>
      <c r="J6" s="8" t="n"/>
      <c r="K6" s="8" t="n"/>
      <c r="L6" s="8" t="inlineStr">
        <is>
          <t>5.1</t>
        </is>
      </c>
      <c r="M6" s="9">
        <f>IF(E6="","Pendiente: decide si aplica",IF(F6="","Falta justificación",IF(AND(E6="Sí",G6=""),"Falta estado",IF(AND(E6="Sí",G6="No aplica"),"Inconsistente: aplica pero estado No aplica",IF(AND(E6="No",G6&lt;&gt;"",G6&lt;&gt;"No aplica"),"Inconsistente: excluido con estado",IF(AND(E6="Sí",G6="Implementado",J6=""),"Falta evidencia","OK"))))))</f>
        <v/>
      </c>
    </row>
    <row r="7">
      <c r="A7" s="8" t="inlineStr">
        <is>
          <t>A.2.4</t>
        </is>
      </c>
      <c r="B7" s="8" t="inlineStr">
        <is>
          <t>Revisión de la política de IA</t>
        </is>
      </c>
      <c r="C7" s="8" t="inlineStr">
        <is>
          <t>A.2 Políticas relacionadas con la IA</t>
        </is>
      </c>
      <c r="D7" s="8" t="inlineStr">
        <is>
          <t>Usa IA de terceros / Desarrolla IA / Provee IA a clientes</t>
        </is>
      </c>
      <c r="E7" s="8" t="n"/>
      <c r="F7" s="8" t="n"/>
      <c r="G7" s="8" t="n"/>
      <c r="H7" s="8" t="n"/>
      <c r="I7" s="8" t="inlineStr">
        <is>
          <t>Historial de versiones; minutas de revisión; insumos de la revisión por la dirección.</t>
        </is>
      </c>
      <c r="J7" s="8" t="n"/>
      <c r="K7" s="8" t="n"/>
      <c r="L7" s="8" t="inlineStr">
        <is>
          <t>5.1</t>
        </is>
      </c>
      <c r="M7" s="9">
        <f>IF(E7="","Pendiente: decide si aplica",IF(F7="","Falta justificación",IF(AND(E7="Sí",G7=""),"Falta estado",IF(AND(E7="Sí",G7="No aplica"),"Inconsistente: aplica pero estado No aplica",IF(AND(E7="No",G7&lt;&gt;"",G7&lt;&gt;"No aplica"),"Inconsistente: excluido con estado",IF(AND(E7="Sí",G7="Implementado",J7=""),"Falta evidencia","OK"))))))</f>
        <v/>
      </c>
    </row>
    <row r="8">
      <c r="A8" s="8" t="inlineStr">
        <is>
          <t>A.3.2</t>
        </is>
      </c>
      <c r="B8" s="8" t="inlineStr">
        <is>
          <t>Roles y responsabilidades de IA</t>
        </is>
      </c>
      <c r="C8" s="8" t="inlineStr">
        <is>
          <t>A.3 Organización interna</t>
        </is>
      </c>
      <c r="D8" s="8" t="inlineStr">
        <is>
          <t>Usa IA de terceros / Desarrolla IA / Provee IA a clientes</t>
        </is>
      </c>
      <c r="E8" s="8" t="n"/>
      <c r="F8" s="8" t="n"/>
      <c r="G8" s="8" t="n"/>
      <c r="H8" s="8" t="n"/>
      <c r="I8" s="8" t="inlineStr">
        <is>
          <t>Matriz RACI de IA; descripciones de puesto; nombramientos firmados.</t>
        </is>
      </c>
      <c r="J8" s="8" t="n"/>
      <c r="K8" s="8" t="n"/>
      <c r="L8" s="8" t="inlineStr">
        <is>
          <t>5.2, 5.3</t>
        </is>
      </c>
      <c r="M8" s="9">
        <f>IF(E8="","Pendiente: decide si aplica",IF(F8="","Falta justificación",IF(AND(E8="Sí",G8=""),"Falta estado",IF(AND(E8="Sí",G8="No aplica"),"Inconsistente: aplica pero estado No aplica",IF(AND(E8="No",G8&lt;&gt;"",G8&lt;&gt;"No aplica"),"Inconsistente: excluido con estado",IF(AND(E8="Sí",G8="Implementado",J8=""),"Falta evidencia","OK"))))))</f>
        <v/>
      </c>
    </row>
    <row r="9">
      <c r="A9" s="8" t="inlineStr">
        <is>
          <t>A.3.3</t>
        </is>
      </c>
      <c r="B9" s="8" t="inlineStr">
        <is>
          <t>Reporte de inquietudes</t>
        </is>
      </c>
      <c r="C9" s="8" t="inlineStr">
        <is>
          <t>A.3 Organización interna</t>
        </is>
      </c>
      <c r="D9" s="8" t="inlineStr">
        <is>
          <t>Usa IA de terceros / Desarrolla IA / Provee IA a clientes</t>
        </is>
      </c>
      <c r="E9" s="8" t="n"/>
      <c r="F9" s="8" t="n"/>
      <c r="G9" s="8" t="n"/>
      <c r="H9" s="8" t="n"/>
      <c r="I9" s="8" t="inlineStr">
        <is>
          <t>Procedimiento del canal; registros de reportes y su atención; comunicación del canal al personal.</t>
        </is>
      </c>
      <c r="J9" s="8" t="n"/>
      <c r="K9" s="8" t="n"/>
      <c r="L9" s="8" t="inlineStr">
        <is>
          <t>6.8</t>
        </is>
      </c>
      <c r="M9" s="9">
        <f>IF(E9="","Pendiente: decide si aplica",IF(F9="","Falta justificación",IF(AND(E9="Sí",G9=""),"Falta estado",IF(AND(E9="Sí",G9="No aplica"),"Inconsistente: aplica pero estado No aplica",IF(AND(E9="No",G9&lt;&gt;"",G9&lt;&gt;"No aplica"),"Inconsistente: excluido con estado",IF(AND(E9="Sí",G9="Implementado",J9=""),"Falta evidencia","OK"))))))</f>
        <v/>
      </c>
    </row>
    <row r="10">
      <c r="A10" s="8" t="inlineStr">
        <is>
          <t>A.4.2</t>
        </is>
      </c>
      <c r="B10" s="8" t="inlineStr">
        <is>
          <t>Documentación de recursos</t>
        </is>
      </c>
      <c r="C10" s="8" t="inlineStr">
        <is>
          <t>A.4 Recursos para sistemas de IA</t>
        </is>
      </c>
      <c r="D10" s="8" t="inlineStr">
        <is>
          <t>Usa IA de terceros / Desarrolla IA / Provee IA a clientes</t>
        </is>
      </c>
      <c r="E10" s="8" t="n"/>
      <c r="F10" s="8" t="n"/>
      <c r="G10" s="8" t="n"/>
      <c r="H10" s="8" t="n"/>
      <c r="I10" s="8" t="inlineStr">
        <is>
          <t>Inventario de sistemas de IA con sus recursos; diagramas de arquitectura y de flujo de datos.</t>
        </is>
      </c>
      <c r="J10" s="8" t="n"/>
      <c r="K10" s="8" t="n"/>
      <c r="L10" s="8" t="inlineStr">
        <is>
          <t>5.9</t>
        </is>
      </c>
      <c r="M10" s="9">
        <f>IF(E10="","Pendiente: decide si aplica",IF(F10="","Falta justificación",IF(AND(E10="Sí",G10=""),"Falta estado",IF(AND(E10="Sí",G10="No aplica"),"Inconsistente: aplica pero estado No aplica",IF(AND(E10="No",G10&lt;&gt;"",G10&lt;&gt;"No aplica"),"Inconsistente: excluido con estado",IF(AND(E10="Sí",G10="Implementado",J10=""),"Falta evidencia","OK"))))))</f>
        <v/>
      </c>
    </row>
    <row r="11">
      <c r="A11" s="8" t="inlineStr">
        <is>
          <t>A.4.3</t>
        </is>
      </c>
      <c r="B11" s="8" t="inlineStr">
        <is>
          <t>Recursos de datos</t>
        </is>
      </c>
      <c r="C11" s="8" t="inlineStr">
        <is>
          <t>A.4 Recursos para sistemas de IA</t>
        </is>
      </c>
      <c r="D11" s="8" t="inlineStr">
        <is>
          <t>Desarrolla IA / Provee IA a clientes</t>
        </is>
      </c>
      <c r="E11" s="8" t="n"/>
      <c r="F11" s="8" t="n"/>
      <c r="G11" s="8" t="n"/>
      <c r="H11" s="8" t="n"/>
      <c r="I11" s="8" t="inlineStr">
        <is>
          <t>Fichas de conjuntos de datos (datasheets); catálogo de datos; metadatos de versiones.</t>
        </is>
      </c>
      <c r="J11" s="8" t="n"/>
      <c r="K11" s="8" t="n"/>
      <c r="L11" s="8" t="inlineStr">
        <is>
          <t>5.9, 5.12</t>
        </is>
      </c>
      <c r="M11" s="9">
        <f>IF(E11="","Pendiente: decide si aplica",IF(F11="","Falta justificación",IF(AND(E11="Sí",G11=""),"Falta estado",IF(AND(E11="Sí",G11="No aplica"),"Inconsistente: aplica pero estado No aplica",IF(AND(E11="No",G11&lt;&gt;"",G11&lt;&gt;"No aplica"),"Inconsistente: excluido con estado",IF(AND(E11="Sí",G11="Implementado",J11=""),"Falta evidencia","OK"))))))</f>
        <v/>
      </c>
    </row>
    <row r="12">
      <c r="A12" s="8" t="inlineStr">
        <is>
          <t>A.4.4</t>
        </is>
      </c>
      <c r="B12" s="8" t="inlineStr">
        <is>
          <t>Recursos de herramientas</t>
        </is>
      </c>
      <c r="C12" s="8" t="inlineStr">
        <is>
          <t>A.4 Recursos para sistemas de IA</t>
        </is>
      </c>
      <c r="D12" s="8" t="inlineStr">
        <is>
          <t>Desarrolla IA / Provee IA a clientes</t>
        </is>
      </c>
      <c r="E12" s="8" t="n"/>
      <c r="F12" s="8" t="n"/>
      <c r="G12" s="8" t="n"/>
      <c r="H12" s="8" t="n"/>
      <c r="I12" s="8" t="inlineStr">
        <is>
          <t>Inventario de herramientas y modelos con versiones; lista de componentes (AI-BOM o SBOM).</t>
        </is>
      </c>
      <c r="J12" s="8" t="n"/>
      <c r="K12" s="8" t="n"/>
      <c r="L12" s="8" t="inlineStr">
        <is>
          <t>5.9</t>
        </is>
      </c>
      <c r="M12" s="9">
        <f>IF(E12="","Pendiente: decide si aplica",IF(F12="","Falta justificación",IF(AND(E12="Sí",G12=""),"Falta estado",IF(AND(E12="Sí",G12="No aplica"),"Inconsistente: aplica pero estado No aplica",IF(AND(E12="No",G12&lt;&gt;"",G12&lt;&gt;"No aplica"),"Inconsistente: excluido con estado",IF(AND(E12="Sí",G12="Implementado",J12=""),"Falta evidencia","OK"))))))</f>
        <v/>
      </c>
    </row>
    <row r="13">
      <c r="A13" s="8" t="inlineStr">
        <is>
          <t>A.4.5</t>
        </is>
      </c>
      <c r="B13" s="8" t="inlineStr">
        <is>
          <t>Recursos de sistema y cómputo</t>
        </is>
      </c>
      <c r="C13" s="8" t="inlineStr">
        <is>
          <t>A.4 Recursos para sistemas de IA</t>
        </is>
      </c>
      <c r="D13" s="8" t="inlineStr">
        <is>
          <t>Desarrolla IA / Provee IA a clientes</t>
        </is>
      </c>
      <c r="E13" s="8" t="n"/>
      <c r="F13" s="8" t="n"/>
      <c r="G13" s="8" t="n"/>
      <c r="H13" s="8" t="n"/>
      <c r="I13" s="8" t="inlineStr">
        <is>
          <t>Inventario de infraestructura; planes de capacidad; datos de consumo energético cuando existan.</t>
        </is>
      </c>
      <c r="J13" s="8" t="n"/>
      <c r="K13" s="8" t="n"/>
      <c r="L13" s="8" t="inlineStr">
        <is>
          <t>5.9, 8.6</t>
        </is>
      </c>
      <c r="M13" s="9">
        <f>IF(E13="","Pendiente: decide si aplica",IF(F13="","Falta justificación",IF(AND(E13="Sí",G13=""),"Falta estado",IF(AND(E13="Sí",G13="No aplica"),"Inconsistente: aplica pero estado No aplica",IF(AND(E13="No",G13&lt;&gt;"",G13&lt;&gt;"No aplica"),"Inconsistente: excluido con estado",IF(AND(E13="Sí",G13="Implementado",J13=""),"Falta evidencia","OK"))))))</f>
        <v/>
      </c>
    </row>
    <row r="14">
      <c r="A14" s="8" t="inlineStr">
        <is>
          <t>A.4.6</t>
        </is>
      </c>
      <c r="B14" s="8" t="inlineStr">
        <is>
          <t>Recursos humanos</t>
        </is>
      </c>
      <c r="C14" s="8" t="inlineStr">
        <is>
          <t>A.4 Recursos para sistemas de IA</t>
        </is>
      </c>
      <c r="D14" s="8" t="inlineStr">
        <is>
          <t>Usa IA de terceros / Desarrolla IA / Provee IA a clientes</t>
        </is>
      </c>
      <c r="E14" s="8" t="n"/>
      <c r="F14" s="8" t="n"/>
      <c r="G14" s="8" t="n"/>
      <c r="H14" s="8" t="n"/>
      <c r="I14" s="8" t="inlineStr">
        <is>
          <t>Matriz de competencias; planes de capacitación; perfiles de puesto relacionados con IA.</t>
        </is>
      </c>
      <c r="J14" s="8" t="n"/>
      <c r="K14" s="8" t="n"/>
      <c r="L14" s="8" t="inlineStr">
        <is>
          <t>6.3</t>
        </is>
      </c>
      <c r="M14" s="9">
        <f>IF(E14="","Pendiente: decide si aplica",IF(F14="","Falta justificación",IF(AND(E14="Sí",G14=""),"Falta estado",IF(AND(E14="Sí",G14="No aplica"),"Inconsistente: aplica pero estado No aplica",IF(AND(E14="No",G14&lt;&gt;"",G14&lt;&gt;"No aplica"),"Inconsistente: excluido con estado",IF(AND(E14="Sí",G14="Implementado",J14=""),"Falta evidencia","OK"))))))</f>
        <v/>
      </c>
    </row>
    <row r="15">
      <c r="A15" s="8" t="inlineStr">
        <is>
          <t>A.5.2</t>
        </is>
      </c>
      <c r="B15" s="8" t="inlineStr">
        <is>
          <t>Proceso de evaluación de impacto</t>
        </is>
      </c>
      <c r="C15" s="8" t="inlineStr">
        <is>
          <t>A.5 Evaluación de impactos de los sistemas de IA</t>
        </is>
      </c>
      <c r="D15" s="8" t="inlineStr">
        <is>
          <t>Usa IA de terceros / Desarrolla IA / Provee IA a clientes</t>
        </is>
      </c>
      <c r="E15" s="8" t="n"/>
      <c r="F15" s="8" t="n"/>
      <c r="G15" s="8" t="n"/>
      <c r="H15" s="8" t="n"/>
      <c r="I15" s="8" t="inlineStr">
        <is>
          <t>Procedimiento de evaluación de impacto con disparadores, responsables, método y criterios.</t>
        </is>
      </c>
      <c r="J15" s="8" t="n"/>
      <c r="K15" s="8" t="n"/>
      <c r="L15" s="8" t="inlineStr">
        <is>
          <t>—</t>
        </is>
      </c>
      <c r="M15" s="9">
        <f>IF(E15="","Pendiente: decide si aplica",IF(F15="","Falta justificación",IF(AND(E15="Sí",G15=""),"Falta estado",IF(AND(E15="Sí",G15="No aplica"),"Inconsistente: aplica pero estado No aplica",IF(AND(E15="No",G15&lt;&gt;"",G15&lt;&gt;"No aplica"),"Inconsistente: excluido con estado",IF(AND(E15="Sí",G15="Implementado",J15=""),"Falta evidencia","OK"))))))</f>
        <v/>
      </c>
    </row>
    <row r="16">
      <c r="A16" s="8" t="inlineStr">
        <is>
          <t>A.5.3</t>
        </is>
      </c>
      <c r="B16" s="8" t="inlineStr">
        <is>
          <t>Documentación de las evaluaciones de impacto</t>
        </is>
      </c>
      <c r="C16" s="8" t="inlineStr">
        <is>
          <t>A.5 Evaluación de impactos de los sistemas de IA</t>
        </is>
      </c>
      <c r="D16" s="8" t="inlineStr">
        <is>
          <t>Usa IA de terceros / Desarrolla IA / Provee IA a clientes</t>
        </is>
      </c>
      <c r="E16" s="8" t="n"/>
      <c r="F16" s="8" t="n"/>
      <c r="G16" s="8" t="n"/>
      <c r="H16" s="8" t="n"/>
      <c r="I16" s="8" t="inlineStr">
        <is>
          <t>Evaluaciones de impacto firmadas y versionadas; política de retención aplicada.</t>
        </is>
      </c>
      <c r="J16" s="8" t="n"/>
      <c r="K16" s="8" t="n"/>
      <c r="L16" s="8" t="inlineStr">
        <is>
          <t>—</t>
        </is>
      </c>
      <c r="M16" s="9">
        <f>IF(E16="","Pendiente: decide si aplica",IF(F16="","Falta justificación",IF(AND(E16="Sí",G16=""),"Falta estado",IF(AND(E16="Sí",G16="No aplica"),"Inconsistente: aplica pero estado No aplica",IF(AND(E16="No",G16&lt;&gt;"",G16&lt;&gt;"No aplica"),"Inconsistente: excluido con estado",IF(AND(E16="Sí",G16="Implementado",J16=""),"Falta evidencia","OK"))))))</f>
        <v/>
      </c>
    </row>
    <row r="17">
      <c r="A17" s="8" t="inlineStr">
        <is>
          <t>A.5.4</t>
        </is>
      </c>
      <c r="B17" s="8" t="inlineStr">
        <is>
          <t>Evaluación del impacto en individuos o grupos</t>
        </is>
      </c>
      <c r="C17" s="8" t="inlineStr">
        <is>
          <t>A.5 Evaluación de impactos de los sistemas de IA</t>
        </is>
      </c>
      <c r="D17" s="8" t="inlineStr">
        <is>
          <t>Usa IA de terceros / Desarrolla IA / Provee IA a clientes</t>
        </is>
      </c>
      <c r="E17" s="8" t="n"/>
      <c r="F17" s="8" t="n"/>
      <c r="G17" s="8" t="n"/>
      <c r="H17" s="8" t="n"/>
      <c r="I17" s="8" t="inlineStr">
        <is>
          <t>Sección de impactos individuales de la evaluación; consulta con expertos o usuarios; medidas de mitigación.</t>
        </is>
      </c>
      <c r="J17" s="8" t="n"/>
      <c r="K17" s="8" t="n"/>
      <c r="L17" s="8" t="inlineStr">
        <is>
          <t>—</t>
        </is>
      </c>
      <c r="M17" s="9">
        <f>IF(E17="","Pendiente: decide si aplica",IF(F17="","Falta justificación",IF(AND(E17="Sí",G17=""),"Falta estado",IF(AND(E17="Sí",G17="No aplica"),"Inconsistente: aplica pero estado No aplica",IF(AND(E17="No",G17&lt;&gt;"",G17&lt;&gt;"No aplica"),"Inconsistente: excluido con estado",IF(AND(E17="Sí",G17="Implementado",J17=""),"Falta evidencia","OK"))))))</f>
        <v/>
      </c>
    </row>
    <row r="18">
      <c r="A18" s="8" t="inlineStr">
        <is>
          <t>A.5.5</t>
        </is>
      </c>
      <c r="B18" s="8" t="inlineStr">
        <is>
          <t>Evaluación de impactos sociales</t>
        </is>
      </c>
      <c r="C18" s="8" t="inlineStr">
        <is>
          <t>A.5 Evaluación de impactos de los sistemas de IA</t>
        </is>
      </c>
      <c r="D18" s="8" t="inlineStr">
        <is>
          <t>Usa IA de terceros / Desarrolla IA / Provee IA a clientes</t>
        </is>
      </c>
      <c r="E18" s="8" t="n"/>
      <c r="F18" s="8" t="n"/>
      <c r="G18" s="8" t="n"/>
      <c r="H18" s="8" t="n"/>
      <c r="I18" s="8" t="inlineStr">
        <is>
          <t>Sección de impactos sociales de la evaluación; análisis de uso indebido; vínculo con la estrategia de sostenibilidad.</t>
        </is>
      </c>
      <c r="J18" s="8" t="n"/>
      <c r="K18" s="8" t="n"/>
      <c r="L18" s="8" t="inlineStr">
        <is>
          <t>—</t>
        </is>
      </c>
      <c r="M18" s="9">
        <f>IF(E18="","Pendiente: decide si aplica",IF(F18="","Falta justificación",IF(AND(E18="Sí",G18=""),"Falta estado",IF(AND(E18="Sí",G18="No aplica"),"Inconsistente: aplica pero estado No aplica",IF(AND(E18="No",G18&lt;&gt;"",G18&lt;&gt;"No aplica"),"Inconsistente: excluido con estado",IF(AND(E18="Sí",G18="Implementado",J18=""),"Falta evidencia","OK"))))))</f>
        <v/>
      </c>
    </row>
    <row r="19">
      <c r="A19" s="8" t="inlineStr">
        <is>
          <t>A.6.1.2</t>
        </is>
      </c>
      <c r="B19" s="8" t="inlineStr">
        <is>
          <t>Objetivos para el desarrollo responsable</t>
        </is>
      </c>
      <c r="C19" s="8" t="inlineStr">
        <is>
          <t>A.6 Ciclo de vida del sistema de IA</t>
        </is>
      </c>
      <c r="D19" s="8" t="inlineStr">
        <is>
          <t>Desarrolla IA / Provee IA a clientes</t>
        </is>
      </c>
      <c r="E19" s="8" t="n"/>
      <c r="F19" s="8" t="n"/>
      <c r="G19" s="8" t="n"/>
      <c r="H19" s="8" t="n"/>
      <c r="I19" s="8" t="inlineStr">
        <is>
          <t>Objetivos documentados; requisitos derivados en historias de usuario o criterios de aceptación.</t>
        </is>
      </c>
      <c r="J19" s="8" t="n"/>
      <c r="K19" s="8" t="n"/>
      <c r="L19" s="8" t="inlineStr">
        <is>
          <t>—</t>
        </is>
      </c>
      <c r="M19" s="9">
        <f>IF(E19="","Pendiente: decide si aplica",IF(F19="","Falta justificación",IF(AND(E19="Sí",G19=""),"Falta estado",IF(AND(E19="Sí",G19="No aplica"),"Inconsistente: aplica pero estado No aplica",IF(AND(E19="No",G19&lt;&gt;"",G19&lt;&gt;"No aplica"),"Inconsistente: excluido con estado",IF(AND(E19="Sí",G19="Implementado",J19=""),"Falta evidencia","OK"))))))</f>
        <v/>
      </c>
    </row>
    <row r="20">
      <c r="A20" s="8" t="inlineStr">
        <is>
          <t>A.6.1.3</t>
        </is>
      </c>
      <c r="B20" s="8" t="inlineStr">
        <is>
          <t>Procesos para el diseño y desarrollo responsable</t>
        </is>
      </c>
      <c r="C20" s="8" t="inlineStr">
        <is>
          <t>A.6 Ciclo de vida del sistema de IA</t>
        </is>
      </c>
      <c r="D20" s="8" t="inlineStr">
        <is>
          <t>Desarrolla IA / Provee IA a clientes</t>
        </is>
      </c>
      <c r="E20" s="8" t="n"/>
      <c r="F20" s="8" t="n"/>
      <c r="G20" s="8" t="n"/>
      <c r="H20" s="8" t="n"/>
      <c r="I20" s="8" t="inlineStr">
        <is>
          <t>Procedimiento del ciclo de vida; puertas de aprobación (stage gates); registros de aprobaciones.</t>
        </is>
      </c>
      <c r="J20" s="8" t="n"/>
      <c r="K20" s="8" t="n"/>
      <c r="L20" s="8" t="inlineStr">
        <is>
          <t>8.25, 8.27</t>
        </is>
      </c>
      <c r="M20" s="9">
        <f>IF(E20="","Pendiente: decide si aplica",IF(F20="","Falta justificación",IF(AND(E20="Sí",G20=""),"Falta estado",IF(AND(E20="Sí",G20="No aplica"),"Inconsistente: aplica pero estado No aplica",IF(AND(E20="No",G20&lt;&gt;"",G20&lt;&gt;"No aplica"),"Inconsistente: excluido con estado",IF(AND(E20="Sí",G20="Implementado",J20=""),"Falta evidencia","OK"))))))</f>
        <v/>
      </c>
    </row>
    <row r="21">
      <c r="A21" s="8" t="inlineStr">
        <is>
          <t>A.6.2.2</t>
        </is>
      </c>
      <c r="B21" s="8" t="inlineStr">
        <is>
          <t>Requisitos y especificación</t>
        </is>
      </c>
      <c r="C21" s="8" t="inlineStr">
        <is>
          <t>A.6 Ciclo de vida del sistema de IA</t>
        </is>
      </c>
      <c r="D21" s="8" t="inlineStr">
        <is>
          <t>Desarrolla IA / Provee IA a clientes</t>
        </is>
      </c>
      <c r="E21" s="8" t="n"/>
      <c r="F21" s="8" t="n"/>
      <c r="G21" s="8" t="n"/>
      <c r="H21" s="8" t="n"/>
      <c r="I21" s="8" t="inlineStr">
        <is>
          <t>Documento de requisitos o caso de negocio; requisitos de datos, desempeño y supervisión.</t>
        </is>
      </c>
      <c r="J21" s="8" t="n"/>
      <c r="K21" s="8" t="n"/>
      <c r="L21" s="8" t="inlineStr">
        <is>
          <t>8.26</t>
        </is>
      </c>
      <c r="M21" s="9">
        <f>IF(E21="","Pendiente: decide si aplica",IF(F21="","Falta justificación",IF(AND(E21="Sí",G21=""),"Falta estado",IF(AND(E21="Sí",G21="No aplica"),"Inconsistente: aplica pero estado No aplica",IF(AND(E21="No",G21&lt;&gt;"",G21&lt;&gt;"No aplica"),"Inconsistente: excluido con estado",IF(AND(E21="Sí",G21="Implementado",J21=""),"Falta evidencia","OK"))))))</f>
        <v/>
      </c>
    </row>
    <row r="22">
      <c r="A22" s="8" t="inlineStr">
        <is>
          <t>A.6.2.3</t>
        </is>
      </c>
      <c r="B22" s="8" t="inlineStr">
        <is>
          <t>Documentación del diseño y desarrollo</t>
        </is>
      </c>
      <c r="C22" s="8" t="inlineStr">
        <is>
          <t>A.6 Ciclo de vida del sistema de IA</t>
        </is>
      </c>
      <c r="D22" s="8" t="inlineStr">
        <is>
          <t>Desarrolla IA / Provee IA a clientes</t>
        </is>
      </c>
      <c r="E22" s="8" t="n"/>
      <c r="F22" s="8" t="n"/>
      <c r="G22" s="8" t="n"/>
      <c r="H22" s="8" t="n"/>
      <c r="I22" s="8" t="inlineStr">
        <is>
          <t>Documento de diseño; registros de decisiones de arquitectura (ADR); modelo de amenazas de IA.</t>
        </is>
      </c>
      <c r="J22" s="8" t="n"/>
      <c r="K22" s="8" t="n"/>
      <c r="L22" s="8" t="inlineStr">
        <is>
          <t>8.27, 8.28</t>
        </is>
      </c>
      <c r="M22" s="9">
        <f>IF(E22="","Pendiente: decide si aplica",IF(F22="","Falta justificación",IF(AND(E22="Sí",G22=""),"Falta estado",IF(AND(E22="Sí",G22="No aplica"),"Inconsistente: aplica pero estado No aplica",IF(AND(E22="No",G22&lt;&gt;"",G22&lt;&gt;"No aplica"),"Inconsistente: excluido con estado",IF(AND(E22="Sí",G22="Implementado",J22=""),"Falta evidencia","OK"))))))</f>
        <v/>
      </c>
    </row>
    <row r="23">
      <c r="A23" s="8" t="inlineStr">
        <is>
          <t>A.6.2.4</t>
        </is>
      </c>
      <c r="B23" s="8" t="inlineStr">
        <is>
          <t>Verificación y validación</t>
        </is>
      </c>
      <c r="C23" s="8" t="inlineStr">
        <is>
          <t>A.6 Ciclo de vida del sistema de IA</t>
        </is>
      </c>
      <c r="D23" s="8" t="inlineStr">
        <is>
          <t>Desarrolla IA / Provee IA a clientes</t>
        </is>
      </c>
      <c r="E23" s="8" t="n"/>
      <c r="F23" s="8" t="n"/>
      <c r="G23" s="8" t="n"/>
      <c r="H23" s="8" t="n"/>
      <c r="I23" s="8" t="inlineStr">
        <is>
          <t>Plan de pruebas; reportes de evaluación por segmento; criterios de liberación firmados.</t>
        </is>
      </c>
      <c r="J23" s="8" t="n"/>
      <c r="K23" s="8" t="n"/>
      <c r="L23" s="8" t="inlineStr">
        <is>
          <t>8.29</t>
        </is>
      </c>
      <c r="M23" s="9">
        <f>IF(E23="","Pendiente: decide si aplica",IF(F23="","Falta justificación",IF(AND(E23="Sí",G23=""),"Falta estado",IF(AND(E23="Sí",G23="No aplica"),"Inconsistente: aplica pero estado No aplica",IF(AND(E23="No",G23&lt;&gt;"",G23&lt;&gt;"No aplica"),"Inconsistente: excluido con estado",IF(AND(E23="Sí",G23="Implementado",J23=""),"Falta evidencia","OK"))))))</f>
        <v/>
      </c>
    </row>
    <row r="24">
      <c r="A24" s="8" t="inlineStr">
        <is>
          <t>A.6.2.5</t>
        </is>
      </c>
      <c r="B24" s="8" t="inlineStr">
        <is>
          <t>Despliegue</t>
        </is>
      </c>
      <c r="C24" s="8" t="inlineStr">
        <is>
          <t>A.6 Ciclo de vida del sistema de IA</t>
        </is>
      </c>
      <c r="D24" s="8" t="inlineStr">
        <is>
          <t>Usa IA de terceros / Desarrolla IA / Provee IA a clientes</t>
        </is>
      </c>
      <c r="E24" s="8" t="n"/>
      <c r="F24" s="8" t="n"/>
      <c r="G24" s="8" t="n"/>
      <c r="H24" s="8" t="n"/>
      <c r="I24" s="8" t="inlineStr">
        <is>
          <t>Plan de despliegue; lista de verificación de salida a producción; aprobación de la dirección.</t>
        </is>
      </c>
      <c r="J24" s="8" t="n"/>
      <c r="K24" s="8" t="n"/>
      <c r="L24" s="8" t="inlineStr">
        <is>
          <t>8.31, 8.32</t>
        </is>
      </c>
      <c r="M24" s="9">
        <f>IF(E24="","Pendiente: decide si aplica",IF(F24="","Falta justificación",IF(AND(E24="Sí",G24=""),"Falta estado",IF(AND(E24="Sí",G24="No aplica"),"Inconsistente: aplica pero estado No aplica",IF(AND(E24="No",G24&lt;&gt;"",G24&lt;&gt;"No aplica"),"Inconsistente: excluido con estado",IF(AND(E24="Sí",G24="Implementado",J24=""),"Falta evidencia","OK"))))))</f>
        <v/>
      </c>
    </row>
    <row r="25">
      <c r="A25" s="8" t="inlineStr">
        <is>
          <t>A.6.2.6</t>
        </is>
      </c>
      <c r="B25" s="8" t="inlineStr">
        <is>
          <t>Operación y monitoreo</t>
        </is>
      </c>
      <c r="C25" s="8" t="inlineStr">
        <is>
          <t>A.6 Ciclo de vida del sistema de IA</t>
        </is>
      </c>
      <c r="D25" s="8" t="inlineStr">
        <is>
          <t>Usa IA de terceros / Desarrolla IA / Provee IA a clientes</t>
        </is>
      </c>
      <c r="E25" s="8" t="n"/>
      <c r="F25" s="8" t="n"/>
      <c r="G25" s="8" t="n"/>
      <c r="H25" s="8" t="n"/>
      <c r="I25" s="8" t="inlineStr">
        <is>
          <t>Tableros de monitoreo; umbrales y alertas de deriva; registros de cambios y soporte.</t>
        </is>
      </c>
      <c r="J25" s="8" t="n"/>
      <c r="K25" s="8" t="n"/>
      <c r="L25" s="8" t="inlineStr">
        <is>
          <t>8.16, 8.6, 8.8</t>
        </is>
      </c>
      <c r="M25" s="9">
        <f>IF(E25="","Pendiente: decide si aplica",IF(F25="","Falta justificación",IF(AND(E25="Sí",G25=""),"Falta estado",IF(AND(E25="Sí",G25="No aplica"),"Inconsistente: aplica pero estado No aplica",IF(AND(E25="No",G25&lt;&gt;"",G25&lt;&gt;"No aplica"),"Inconsistente: excluido con estado",IF(AND(E25="Sí",G25="Implementado",J25=""),"Falta evidencia","OK"))))))</f>
        <v/>
      </c>
    </row>
    <row r="26">
      <c r="A26" s="8" t="inlineStr">
        <is>
          <t>A.6.2.7</t>
        </is>
      </c>
      <c r="B26" s="8" t="inlineStr">
        <is>
          <t>Documentación técnica</t>
        </is>
      </c>
      <c r="C26" s="8" t="inlineStr">
        <is>
          <t>A.6 Ciclo de vida del sistema de IA</t>
        </is>
      </c>
      <c r="D26" s="8" t="inlineStr">
        <is>
          <t>Desarrolla IA / Provee IA a clientes</t>
        </is>
      </c>
      <c r="E26" s="8" t="n"/>
      <c r="F26" s="8" t="n"/>
      <c r="G26" s="8" t="n"/>
      <c r="H26" s="8" t="n"/>
      <c r="I26" s="8" t="inlineStr">
        <is>
          <t>Ficha del sistema o del modelo; manual de operación; plan de manejo de fallas.</t>
        </is>
      </c>
      <c r="J26" s="8" t="n"/>
      <c r="K26" s="8" t="n"/>
      <c r="L26" s="8" t="inlineStr">
        <is>
          <t>5.37</t>
        </is>
      </c>
      <c r="M26" s="9">
        <f>IF(E26="","Pendiente: decide si aplica",IF(F26="","Falta justificación",IF(AND(E26="Sí",G26=""),"Falta estado",IF(AND(E26="Sí",G26="No aplica"),"Inconsistente: aplica pero estado No aplica",IF(AND(E26="No",G26&lt;&gt;"",G26&lt;&gt;"No aplica"),"Inconsistente: excluido con estado",IF(AND(E26="Sí",G26="Implementado",J26=""),"Falta evidencia","OK"))))))</f>
        <v/>
      </c>
    </row>
    <row r="27">
      <c r="A27" s="8" t="inlineStr">
        <is>
          <t>A.6.2.8</t>
        </is>
      </c>
      <c r="B27" s="8" t="inlineStr">
        <is>
          <t>Registro de eventos</t>
        </is>
      </c>
      <c r="C27" s="8" t="inlineStr">
        <is>
          <t>A.6 Ciclo de vida del sistema de IA</t>
        </is>
      </c>
      <c r="D27" s="8" t="inlineStr">
        <is>
          <t>Usa IA de terceros / Desarrolla IA / Provee IA a clientes</t>
        </is>
      </c>
      <c r="E27" s="8" t="n"/>
      <c r="F27" s="8" t="n"/>
      <c r="G27" s="8" t="n"/>
      <c r="H27" s="8" t="n"/>
      <c r="I27" s="8" t="inlineStr">
        <is>
          <t>Configuración de bitácoras; muestras de registros; política de retención de registros.</t>
        </is>
      </c>
      <c r="J27" s="8" t="n"/>
      <c r="K27" s="8" t="n"/>
      <c r="L27" s="8" t="inlineStr">
        <is>
          <t>8.15, 8.17</t>
        </is>
      </c>
      <c r="M27" s="9">
        <f>IF(E27="","Pendiente: decide si aplica",IF(F27="","Falta justificación",IF(AND(E27="Sí",G27=""),"Falta estado",IF(AND(E27="Sí",G27="No aplica"),"Inconsistente: aplica pero estado No aplica",IF(AND(E27="No",G27&lt;&gt;"",G27&lt;&gt;"No aplica"),"Inconsistente: excluido con estado",IF(AND(E27="Sí",G27="Implementado",J27=""),"Falta evidencia","OK"))))))</f>
        <v/>
      </c>
    </row>
    <row r="28">
      <c r="A28" s="8" t="inlineStr">
        <is>
          <t>A.7.2</t>
        </is>
      </c>
      <c r="B28" s="8" t="inlineStr">
        <is>
          <t>Datos para desarrollo y mejora</t>
        </is>
      </c>
      <c r="C28" s="8" t="inlineStr">
        <is>
          <t>A.7 Datos para sistemas de IA</t>
        </is>
      </c>
      <c r="D28" s="8" t="inlineStr">
        <is>
          <t>Desarrolla IA / Provee IA a clientes</t>
        </is>
      </c>
      <c r="E28" s="8" t="n"/>
      <c r="F28" s="8" t="n"/>
      <c r="G28" s="8" t="n"/>
      <c r="H28" s="8" t="n"/>
      <c r="I28" s="8" t="inlineStr">
        <is>
          <t>Procedimiento de gestión de datos para IA; aprobaciones de uso de datos; análisis de representatividad.</t>
        </is>
      </c>
      <c r="J28" s="8" t="n"/>
      <c r="K28" s="8" t="n"/>
      <c r="L28" s="8" t="inlineStr">
        <is>
          <t>—</t>
        </is>
      </c>
      <c r="M28" s="9">
        <f>IF(E28="","Pendiente: decide si aplica",IF(F28="","Falta justificación",IF(AND(E28="Sí",G28=""),"Falta estado",IF(AND(E28="Sí",G28="No aplica"),"Inconsistente: aplica pero estado No aplica",IF(AND(E28="No",G28&lt;&gt;"",G28&lt;&gt;"No aplica"),"Inconsistente: excluido con estado",IF(AND(E28="Sí",G28="Implementado",J28=""),"Falta evidencia","OK"))))))</f>
        <v/>
      </c>
    </row>
    <row r="29">
      <c r="A29" s="8" t="inlineStr">
        <is>
          <t>A.7.3</t>
        </is>
      </c>
      <c r="B29" s="8" t="inlineStr">
        <is>
          <t>Adquisición de datos</t>
        </is>
      </c>
      <c r="C29" s="8" t="inlineStr">
        <is>
          <t>A.7 Datos para sistemas de IA</t>
        </is>
      </c>
      <c r="D29" s="8" t="inlineStr">
        <is>
          <t>Desarrolla IA / Provee IA a clientes</t>
        </is>
      </c>
      <c r="E29" s="8" t="n"/>
      <c r="F29" s="8" t="n"/>
      <c r="G29" s="8" t="n"/>
      <c r="H29" s="8" t="n"/>
      <c r="I29" s="8" t="inlineStr">
        <is>
          <t>Registro de fuentes de datos; licencias y contratos de datos; base legal del tratamiento.</t>
        </is>
      </c>
      <c r="J29" s="8" t="n"/>
      <c r="K29" s="8" t="n"/>
      <c r="L29" s="8" t="inlineStr">
        <is>
          <t>—</t>
        </is>
      </c>
      <c r="M29" s="9">
        <f>IF(E29="","Pendiente: decide si aplica",IF(F29="","Falta justificación",IF(AND(E29="Sí",G29=""),"Falta estado",IF(AND(E29="Sí",G29="No aplica"),"Inconsistente: aplica pero estado No aplica",IF(AND(E29="No",G29&lt;&gt;"",G29&lt;&gt;"No aplica"),"Inconsistente: excluido con estado",IF(AND(E29="Sí",G29="Implementado",J29=""),"Falta evidencia","OK"))))))</f>
        <v/>
      </c>
    </row>
    <row r="30">
      <c r="A30" s="8" t="inlineStr">
        <is>
          <t>A.7.4</t>
        </is>
      </c>
      <c r="B30" s="8" t="inlineStr">
        <is>
          <t>Calidad de los datos</t>
        </is>
      </c>
      <c r="C30" s="8" t="inlineStr">
        <is>
          <t>A.7 Datos para sistemas de IA</t>
        </is>
      </c>
      <c r="D30" s="8" t="inlineStr">
        <is>
          <t>Usa IA de terceros / Desarrolla IA / Provee IA a clientes</t>
        </is>
      </c>
      <c r="E30" s="8" t="n"/>
      <c r="F30" s="8" t="n"/>
      <c r="G30" s="8" t="n"/>
      <c r="H30" s="8" t="n"/>
      <c r="I30" s="8" t="inlineStr">
        <is>
          <t>Requisitos de calidad por conjunto; reportes de perfilado; métricas de sesgo y completitud.</t>
        </is>
      </c>
      <c r="J30" s="8" t="n"/>
      <c r="K30" s="8" t="n"/>
      <c r="L30" s="8" t="inlineStr">
        <is>
          <t>—</t>
        </is>
      </c>
      <c r="M30" s="9">
        <f>IF(E30="","Pendiente: decide si aplica",IF(F30="","Falta justificación",IF(AND(E30="Sí",G30=""),"Falta estado",IF(AND(E30="Sí",G30="No aplica"),"Inconsistente: aplica pero estado No aplica",IF(AND(E30="No",G30&lt;&gt;"",G30&lt;&gt;"No aplica"),"Inconsistente: excluido con estado",IF(AND(E30="Sí",G30="Implementado",J30=""),"Falta evidencia","OK"))))))</f>
        <v/>
      </c>
    </row>
    <row r="31">
      <c r="A31" s="8" t="inlineStr">
        <is>
          <t>A.7.5</t>
        </is>
      </c>
      <c r="B31" s="8" t="inlineStr">
        <is>
          <t>Procedencia de los datos</t>
        </is>
      </c>
      <c r="C31" s="8" t="inlineStr">
        <is>
          <t>A.7 Datos para sistemas de IA</t>
        </is>
      </c>
      <c r="D31" s="8" t="inlineStr">
        <is>
          <t>Desarrolla IA / Provee IA a clientes</t>
        </is>
      </c>
      <c r="E31" s="8" t="n"/>
      <c r="F31" s="8" t="n"/>
      <c r="G31" s="8" t="n"/>
      <c r="H31" s="8" t="n"/>
      <c r="I31" s="8" t="inlineStr">
        <is>
          <t>Registros de linaje (lineage); versionado de conjuntos de datos; cadena de custodia.</t>
        </is>
      </c>
      <c r="J31" s="8" t="n"/>
      <c r="K31" s="8" t="n"/>
      <c r="L31" s="8" t="inlineStr">
        <is>
          <t>—</t>
        </is>
      </c>
      <c r="M31" s="9">
        <f>IF(E31="","Pendiente: decide si aplica",IF(F31="","Falta justificación",IF(AND(E31="Sí",G31=""),"Falta estado",IF(AND(E31="Sí",G31="No aplica"),"Inconsistente: aplica pero estado No aplica",IF(AND(E31="No",G31&lt;&gt;"",G31&lt;&gt;"No aplica"),"Inconsistente: excluido con estado",IF(AND(E31="Sí",G31="Implementado",J31=""),"Falta evidencia","OK"))))))</f>
        <v/>
      </c>
    </row>
    <row r="32">
      <c r="A32" s="8" t="inlineStr">
        <is>
          <t>A.7.6</t>
        </is>
      </c>
      <c r="B32" s="8" t="inlineStr">
        <is>
          <t>Preparación de los datos</t>
        </is>
      </c>
      <c r="C32" s="8" t="inlineStr">
        <is>
          <t>A.7 Datos para sistemas de IA</t>
        </is>
      </c>
      <c r="D32" s="8" t="inlineStr">
        <is>
          <t>Desarrolla IA / Provee IA a clientes</t>
        </is>
      </c>
      <c r="E32" s="8" t="n"/>
      <c r="F32" s="8" t="n"/>
      <c r="G32" s="8" t="n"/>
      <c r="H32" s="8" t="n"/>
      <c r="I32" s="8" t="inlineStr">
        <is>
          <t>Procedimiento o cuaderno de preparación versionado; justificación de transformaciones; guía de etiquetado.</t>
        </is>
      </c>
      <c r="J32" s="8" t="n"/>
      <c r="K32" s="8" t="n"/>
      <c r="L32" s="8" t="inlineStr">
        <is>
          <t>—</t>
        </is>
      </c>
      <c r="M32" s="9">
        <f>IF(E32="","Pendiente: decide si aplica",IF(F32="","Falta justificación",IF(AND(E32="Sí",G32=""),"Falta estado",IF(AND(E32="Sí",G32="No aplica"),"Inconsistente: aplica pero estado No aplica",IF(AND(E32="No",G32&lt;&gt;"",G32&lt;&gt;"No aplica"),"Inconsistente: excluido con estado",IF(AND(E32="Sí",G32="Implementado",J32=""),"Falta evidencia","OK"))))))</f>
        <v/>
      </c>
    </row>
    <row r="33">
      <c r="A33" s="8" t="inlineStr">
        <is>
          <t>A.8.2</t>
        </is>
      </c>
      <c r="B33" s="8" t="inlineStr">
        <is>
          <t>Documentación del sistema e información para usuarios</t>
        </is>
      </c>
      <c r="C33" s="8" t="inlineStr">
        <is>
          <t>A.8 Información para las partes interesadas</t>
        </is>
      </c>
      <c r="D33" s="8" t="inlineStr">
        <is>
          <t>Usa IA de terceros / Desarrolla IA / Provee IA a clientes</t>
        </is>
      </c>
      <c r="E33" s="8" t="n"/>
      <c r="F33" s="8" t="n"/>
      <c r="G33" s="8" t="n"/>
      <c r="H33" s="8" t="n"/>
      <c r="I33" s="8" t="inlineStr">
        <is>
          <t>Avisos de interacción con IA; instrucciones de uso; criterios documentados de qué informar.</t>
        </is>
      </c>
      <c r="J33" s="8" t="n"/>
      <c r="K33" s="8" t="n"/>
      <c r="L33" s="8" t="inlineStr">
        <is>
          <t>—</t>
        </is>
      </c>
      <c r="M33" s="9">
        <f>IF(E33="","Pendiente: decide si aplica",IF(F33="","Falta justificación",IF(AND(E33="Sí",G33=""),"Falta estado",IF(AND(E33="Sí",G33="No aplica"),"Inconsistente: aplica pero estado No aplica",IF(AND(E33="No",G33&lt;&gt;"",G33&lt;&gt;"No aplica"),"Inconsistente: excluido con estado",IF(AND(E33="Sí",G33="Implementado",J33=""),"Falta evidencia","OK"))))))</f>
        <v/>
      </c>
    </row>
    <row r="34">
      <c r="A34" s="8" t="inlineStr">
        <is>
          <t>A.8.3</t>
        </is>
      </c>
      <c r="B34" s="8" t="inlineStr">
        <is>
          <t>Reporte externo</t>
        </is>
      </c>
      <c r="C34" s="8" t="inlineStr">
        <is>
          <t>A.8 Información para las partes interesadas</t>
        </is>
      </c>
      <c r="D34" s="8" t="inlineStr">
        <is>
          <t>Usa IA de terceros / Desarrolla IA / Provee IA a clientes</t>
        </is>
      </c>
      <c r="E34" s="8" t="n"/>
      <c r="F34" s="8" t="n"/>
      <c r="G34" s="8" t="n"/>
      <c r="H34" s="8" t="n"/>
      <c r="I34" s="8" t="inlineStr">
        <is>
          <t>Formulario o buzón publicado; registro de reportes recibidos y su atención.</t>
        </is>
      </c>
      <c r="J34" s="8" t="n"/>
      <c r="K34" s="8" t="n"/>
      <c r="L34" s="8" t="inlineStr">
        <is>
          <t>6.8</t>
        </is>
      </c>
      <c r="M34" s="9">
        <f>IF(E34="","Pendiente: decide si aplica",IF(F34="","Falta justificación",IF(AND(E34="Sí",G34=""),"Falta estado",IF(AND(E34="Sí",G34="No aplica"),"Inconsistente: aplica pero estado No aplica",IF(AND(E34="No",G34&lt;&gt;"",G34&lt;&gt;"No aplica"),"Inconsistente: excluido con estado",IF(AND(E34="Sí",G34="Implementado",J34=""),"Falta evidencia","OK"))))))</f>
        <v/>
      </c>
    </row>
    <row r="35">
      <c r="A35" s="8" t="inlineStr">
        <is>
          <t>A.8.4</t>
        </is>
      </c>
      <c r="B35" s="8" t="inlineStr">
        <is>
          <t>Comunicación de incidentes</t>
        </is>
      </c>
      <c r="C35" s="8" t="inlineStr">
        <is>
          <t>A.8 Información para las partes interesadas</t>
        </is>
      </c>
      <c r="D35" s="8" t="inlineStr">
        <is>
          <t>Usa IA de terceros / Desarrolla IA / Provee IA a clientes</t>
        </is>
      </c>
      <c r="E35" s="8" t="n"/>
      <c r="F35" s="8" t="n"/>
      <c r="G35" s="8" t="n"/>
      <c r="H35" s="8" t="n"/>
      <c r="I35" s="8" t="inlineStr">
        <is>
          <t>Plan de comunicación de incidentes de IA; plantillas de aviso; registros de notificaciones.</t>
        </is>
      </c>
      <c r="J35" s="8" t="n"/>
      <c r="K35" s="8" t="n"/>
      <c r="L35" s="8" t="inlineStr">
        <is>
          <t>5.24, 5.26, 5.5</t>
        </is>
      </c>
      <c r="M35" s="9">
        <f>IF(E35="","Pendiente: decide si aplica",IF(F35="","Falta justificación",IF(AND(E35="Sí",G35=""),"Falta estado",IF(AND(E35="Sí",G35="No aplica"),"Inconsistente: aplica pero estado No aplica",IF(AND(E35="No",G35&lt;&gt;"",G35&lt;&gt;"No aplica"),"Inconsistente: excluido con estado",IF(AND(E35="Sí",G35="Implementado",J35=""),"Falta evidencia","OK"))))))</f>
        <v/>
      </c>
    </row>
    <row r="36">
      <c r="A36" s="8" t="inlineStr">
        <is>
          <t>A.8.5</t>
        </is>
      </c>
      <c r="B36" s="8" t="inlineStr">
        <is>
          <t>Información para las partes interesadas</t>
        </is>
      </c>
      <c r="C36" s="8" t="inlineStr">
        <is>
          <t>A.8 Información para las partes interesadas</t>
        </is>
      </c>
      <c r="D36" s="8" t="inlineStr">
        <is>
          <t>Usa IA de terceros / Desarrolla IA / Provee IA a clientes</t>
        </is>
      </c>
      <c r="E36" s="8" t="n"/>
      <c r="F36" s="8" t="n"/>
      <c r="G36" s="8" t="n"/>
      <c r="H36" s="8" t="n"/>
      <c r="I36" s="8" t="inlineStr">
        <is>
          <t>Registro de obligaciones de reporte; reportes entregados; contactos con autoridades.</t>
        </is>
      </c>
      <c r="J36" s="8" t="n"/>
      <c r="K36" s="8" t="n"/>
      <c r="L36" s="8" t="inlineStr">
        <is>
          <t>5.31, 5.5</t>
        </is>
      </c>
      <c r="M36" s="9">
        <f>IF(E36="","Pendiente: decide si aplica",IF(F36="","Falta justificación",IF(AND(E36="Sí",G36=""),"Falta estado",IF(AND(E36="Sí",G36="No aplica"),"Inconsistente: aplica pero estado No aplica",IF(AND(E36="No",G36&lt;&gt;"",G36&lt;&gt;"No aplica"),"Inconsistente: excluido con estado",IF(AND(E36="Sí",G36="Implementado",J36=""),"Falta evidencia","OK"))))))</f>
        <v/>
      </c>
    </row>
    <row r="37">
      <c r="A37" s="8" t="inlineStr">
        <is>
          <t>A.9.2</t>
        </is>
      </c>
      <c r="B37" s="8" t="inlineStr">
        <is>
          <t>Procesos para el uso responsable</t>
        </is>
      </c>
      <c r="C37" s="8" t="inlineStr">
        <is>
          <t>A.9 Uso de sistemas de IA</t>
        </is>
      </c>
      <c r="D37" s="8" t="inlineStr">
        <is>
          <t>Usa IA de terceros / Desarrolla IA</t>
        </is>
      </c>
      <c r="E37" s="8" t="n"/>
      <c r="F37" s="8" t="n"/>
      <c r="G37" s="8" t="n"/>
      <c r="H37" s="8" t="n"/>
      <c r="I37" s="8" t="inlineStr">
        <is>
          <t>Procedimiento de alta de casos de uso de IA; política de uso aceptable; aprobaciones registradas.</t>
        </is>
      </c>
      <c r="J37" s="8" t="n"/>
      <c r="K37" s="8" t="n"/>
      <c r="L37" s="8" t="inlineStr">
        <is>
          <t>5.10</t>
        </is>
      </c>
      <c r="M37" s="9">
        <f>IF(E37="","Pendiente: decide si aplica",IF(F37="","Falta justificación",IF(AND(E37="Sí",G37=""),"Falta estado",IF(AND(E37="Sí",G37="No aplica"),"Inconsistente: aplica pero estado No aplica",IF(AND(E37="No",G37&lt;&gt;"",G37&lt;&gt;"No aplica"),"Inconsistente: excluido con estado",IF(AND(E37="Sí",G37="Implementado",J37=""),"Falta evidencia","OK"))))))</f>
        <v/>
      </c>
    </row>
    <row r="38">
      <c r="A38" s="8" t="inlineStr">
        <is>
          <t>A.9.3</t>
        </is>
      </c>
      <c r="B38" s="8" t="inlineStr">
        <is>
          <t>Objetivos para el uso responsable</t>
        </is>
      </c>
      <c r="C38" s="8" t="inlineStr">
        <is>
          <t>A.9 Uso de sistemas de IA</t>
        </is>
      </c>
      <c r="D38" s="8" t="inlineStr">
        <is>
          <t>Usa IA de terceros / Desarrolla IA</t>
        </is>
      </c>
      <c r="E38" s="8" t="n"/>
      <c r="F38" s="8" t="n"/>
      <c r="G38" s="8" t="n"/>
      <c r="H38" s="8" t="n"/>
      <c r="I38" s="8" t="inlineStr">
        <is>
          <t>Objetivos de uso documentados; definición de puntos de supervisión humana; indicadores.</t>
        </is>
      </c>
      <c r="J38" s="8" t="n"/>
      <c r="K38" s="8" t="n"/>
      <c r="L38" s="8" t="inlineStr">
        <is>
          <t>—</t>
        </is>
      </c>
      <c r="M38" s="9">
        <f>IF(E38="","Pendiente: decide si aplica",IF(F38="","Falta justificación",IF(AND(E38="Sí",G38=""),"Falta estado",IF(AND(E38="Sí",G38="No aplica"),"Inconsistente: aplica pero estado No aplica",IF(AND(E38="No",G38&lt;&gt;"",G38&lt;&gt;"No aplica"),"Inconsistente: excluido con estado",IF(AND(E38="Sí",G38="Implementado",J38=""),"Falta evidencia","OK"))))))</f>
        <v/>
      </c>
    </row>
    <row r="39">
      <c r="A39" s="8" t="inlineStr">
        <is>
          <t>A.9.4</t>
        </is>
      </c>
      <c r="B39" s="8" t="inlineStr">
        <is>
          <t>Uso previsto del sistema de IA</t>
        </is>
      </c>
      <c r="C39" s="8" t="inlineStr">
        <is>
          <t>A.9 Uso de sistemas de IA</t>
        </is>
      </c>
      <c r="D39" s="8" t="inlineStr">
        <is>
          <t>Usa IA de terceros / Desarrolla IA</t>
        </is>
      </c>
      <c r="E39" s="8" t="n"/>
      <c r="F39" s="8" t="n"/>
      <c r="G39" s="8" t="n"/>
      <c r="H39" s="8" t="n"/>
      <c r="I39" s="8" t="inlineStr">
        <is>
          <t>Declaración de uso previsto; registros de operación; escalamientos al proveedor.</t>
        </is>
      </c>
      <c r="J39" s="8" t="n"/>
      <c r="K39" s="8" t="n"/>
      <c r="L39" s="8" t="inlineStr">
        <is>
          <t>—</t>
        </is>
      </c>
      <c r="M39" s="9">
        <f>IF(E39="","Pendiente: decide si aplica",IF(F39="","Falta justificación",IF(AND(E39="Sí",G39=""),"Falta estado",IF(AND(E39="Sí",G39="No aplica"),"Inconsistente: aplica pero estado No aplica",IF(AND(E39="No",G39&lt;&gt;"",G39&lt;&gt;"No aplica"),"Inconsistente: excluido con estado",IF(AND(E39="Sí",G39="Implementado",J39=""),"Falta evidencia","OK"))))))</f>
        <v/>
      </c>
    </row>
    <row r="40">
      <c r="A40" s="8" t="inlineStr">
        <is>
          <t>A.10.2</t>
        </is>
      </c>
      <c r="B40" s="8" t="inlineStr">
        <is>
          <t>Asignación de responsabilidades</t>
        </is>
      </c>
      <c r="C40" s="8" t="inlineStr">
        <is>
          <t>A.10 Relaciones con terceros y clientes</t>
        </is>
      </c>
      <c r="D40" s="8" t="inlineStr">
        <is>
          <t>Usa IA de terceros / Desarrolla IA / Provee IA a clientes</t>
        </is>
      </c>
      <c r="E40" s="8" t="n"/>
      <c r="F40" s="8" t="n"/>
      <c r="G40" s="8" t="n"/>
      <c r="H40" s="8" t="n"/>
      <c r="I40" s="8" t="inlineStr">
        <is>
          <t>Matriz de responsabilidad compartida; cláusulas contractuales; roles de protección de datos definidos.</t>
        </is>
      </c>
      <c r="J40" s="8" t="n"/>
      <c r="K40" s="8" t="n"/>
      <c r="L40" s="8" t="inlineStr">
        <is>
          <t>5.19, 5.20, 5.23</t>
        </is>
      </c>
      <c r="M40" s="9">
        <f>IF(E40="","Pendiente: decide si aplica",IF(F40="","Falta justificación",IF(AND(E40="Sí",G40=""),"Falta estado",IF(AND(E40="Sí",G40="No aplica"),"Inconsistente: aplica pero estado No aplica",IF(AND(E40="No",G40&lt;&gt;"",G40&lt;&gt;"No aplica"),"Inconsistente: excluido con estado",IF(AND(E40="Sí",G40="Implementado",J40=""),"Falta evidencia","OK"))))))</f>
        <v/>
      </c>
    </row>
    <row r="41">
      <c r="A41" s="8" t="inlineStr">
        <is>
          <t>A.10.3</t>
        </is>
      </c>
      <c r="B41" s="8" t="inlineStr">
        <is>
          <t>Proveedores</t>
        </is>
      </c>
      <c r="C41" s="8" t="inlineStr">
        <is>
          <t>A.10 Relaciones con terceros y clientes</t>
        </is>
      </c>
      <c r="D41" s="8" t="inlineStr">
        <is>
          <t>Usa IA de terceros / Desarrolla IA / Provee IA a clientes</t>
        </is>
      </c>
      <c r="E41" s="8" t="n"/>
      <c r="F41" s="8" t="n"/>
      <c r="G41" s="8" t="n"/>
      <c r="H41" s="8" t="n"/>
      <c r="I41" s="8" t="inlineStr">
        <is>
          <t>Evaluaciones de proveedores de IA; cuestionarios; documentación recibida; seguimiento periódico.</t>
        </is>
      </c>
      <c r="J41" s="8" t="n"/>
      <c r="K41" s="8" t="n"/>
      <c r="L41" s="8" t="inlineStr">
        <is>
          <t>5.19, 5.20, 5.21, 5.22</t>
        </is>
      </c>
      <c r="M41" s="9">
        <f>IF(E41="","Pendiente: decide si aplica",IF(F41="","Falta justificación",IF(AND(E41="Sí",G41=""),"Falta estado",IF(AND(E41="Sí",G41="No aplica"),"Inconsistente: aplica pero estado No aplica",IF(AND(E41="No",G41&lt;&gt;"",G41&lt;&gt;"No aplica"),"Inconsistente: excluido con estado",IF(AND(E41="Sí",G41="Implementado",J41=""),"Falta evidencia","OK"))))))</f>
        <v/>
      </c>
    </row>
    <row r="42">
      <c r="A42" s="8" t="inlineStr">
        <is>
          <t>A.10.4</t>
        </is>
      </c>
      <c r="B42" s="8" t="inlineStr">
        <is>
          <t>Clientes</t>
        </is>
      </c>
      <c r="C42" s="8" t="inlineStr">
        <is>
          <t>A.10 Relaciones con terceros y clientes</t>
        </is>
      </c>
      <c r="D42" s="8" t="inlineStr">
        <is>
          <t>Provee IA a clientes</t>
        </is>
      </c>
      <c r="E42" s="8" t="n"/>
      <c r="F42" s="8" t="n"/>
      <c r="G42" s="8" t="n"/>
      <c r="H42" s="8" t="n"/>
      <c r="I42" s="8" t="inlineStr">
        <is>
          <t>Requisitos de clientes; contratos y términos de uso; documentación entregada al cliente.</t>
        </is>
      </c>
      <c r="J42" s="8" t="n"/>
      <c r="K42" s="8" t="n"/>
      <c r="L42" s="8" t="inlineStr">
        <is>
          <t>5.20</t>
        </is>
      </c>
      <c r="M42" s="9">
        <f>IF(E42="","Pendiente: decide si aplica",IF(F42="","Falta justificación",IF(AND(E42="Sí",G42=""),"Falta estado",IF(AND(E42="Sí",G42="No aplica"),"Inconsistente: aplica pero estado No aplica",IF(AND(E42="No",G42&lt;&gt;"",G42&lt;&gt;"No aplica"),"Inconsistente: excluido con estado",IF(AND(E42="Sí",G42="Implementado",J42=""),"Falta evidencia","OK"))))))</f>
        <v/>
      </c>
    </row>
  </sheetData>
  <autoFilter ref="A4:M42"/>
  <conditionalFormatting sqref="M5:M42">
    <cfRule type="cellIs" priority="1" operator="equal" dxfId="0">
      <formula>"OK"</formula>
    </cfRule>
    <cfRule type="cellIs" priority="2" operator="notEqual" dxfId="1">
      <formula>"OK"</formula>
    </cfRule>
  </conditionalFormatting>
  <conditionalFormatting sqref="E5:E42">
    <cfRule type="cellIs" priority="3" operator="equal" dxfId="2">
      <formula>"No"</formula>
    </cfRule>
  </conditionalFormatting>
  <dataValidations count="2">
    <dataValidation sqref="E5:E42" showDropDown="0" showInputMessage="0" showErrorMessage="0" allowBlank="1" errorTitle="Valor no válido" error="Elige un valor de la lista." type="list">
      <formula1>=Listas!$A$2:$A$3</formula1>
    </dataValidation>
    <dataValidation sqref="G5:G42" showDropDown="0" showInputMessage="0" showErrorMessage="0" allowBlank="1" errorTitle="Valor no válido" error="Elige un valor de la lista." type="list">
      <formula1>=Listas!$B$2:$B$5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5" t="inlineStr">
        <is>
          <t>Resumen de la Declaración de Aplicabilidad</t>
        </is>
      </c>
    </row>
    <row r="3" ht="36" customHeight="1">
      <c r="A3" s="7" t="inlineStr">
        <is>
          <t>Indicador</t>
        </is>
      </c>
      <c r="B3" s="7" t="inlineStr">
        <is>
          <t>Valor</t>
        </is>
      </c>
    </row>
    <row r="4">
      <c r="A4" s="8" t="inlineStr">
        <is>
          <t>Controles del Anexo A</t>
        </is>
      </c>
      <c r="B4" s="8">
        <f>COUNTA(SoA!A5:A42)</f>
        <v/>
      </c>
    </row>
    <row r="5">
      <c r="A5" s="8" t="inlineStr">
        <is>
          <t>Controles que aplican</t>
        </is>
      </c>
      <c r="B5" s="8">
        <f>COUNTIF(SoA!E5:E42,"Sí")</f>
        <v/>
      </c>
    </row>
    <row r="6">
      <c r="A6" s="8" t="inlineStr">
        <is>
          <t>Controles excluidos</t>
        </is>
      </c>
      <c r="B6" s="8">
        <f>COUNTIF(SoA!E5:E42,"No")</f>
        <v/>
      </c>
    </row>
    <row r="7">
      <c r="A7" s="8" t="inlineStr">
        <is>
          <t>Pendientes de decisión</t>
        </is>
      </c>
      <c r="B7" s="8">
        <f>COUNTBLANK(SoA!E5:E42)</f>
        <v/>
      </c>
    </row>
    <row r="8">
      <c r="A8" s="8" t="inlineStr">
        <is>
          <t>Implementados</t>
        </is>
      </c>
      <c r="B8" s="8">
        <f>COUNTIFS(SoA!E5:E42,"Sí",SoA!G5:G42,"Implementado")</f>
        <v/>
      </c>
    </row>
    <row r="9">
      <c r="A9" s="8" t="inlineStr">
        <is>
          <t>En curso</t>
        </is>
      </c>
      <c r="B9" s="8">
        <f>COUNTIFS(SoA!E5:E42,"Sí",SoA!G5:G42,"En curso")</f>
        <v/>
      </c>
    </row>
    <row r="10">
      <c r="A10" s="8" t="inlineStr">
        <is>
          <t>No iniciados</t>
        </is>
      </c>
      <c r="B10" s="8">
        <f>COUNTIFS(SoA!E5:E42,"Sí",SoA!G5:G42,"No iniciado")</f>
        <v/>
      </c>
    </row>
    <row r="11">
      <c r="A11" s="8" t="inlineStr">
        <is>
          <t>Avance de implementación (implementados / aplican)</t>
        </is>
      </c>
      <c r="B11" s="10">
        <f>IF(B5=0,"",B8/B5)</f>
        <v/>
      </c>
    </row>
    <row r="12">
      <c r="A12" s="8" t="inlineStr">
        <is>
          <t>Filas con validación distinta de OK</t>
        </is>
      </c>
      <c r="B12" s="8">
        <f>COUNTIF(SoA!M5:M42,"&lt;&gt;OK")</f>
        <v/>
      </c>
    </row>
    <row r="15" ht="36" customHeight="1">
      <c r="A15" s="7" t="inlineStr">
        <is>
          <t>Objetivo</t>
        </is>
      </c>
      <c r="B15" s="7" t="inlineStr">
        <is>
          <t>Aplican</t>
        </is>
      </c>
      <c r="C15" s="7" t="inlineStr">
        <is>
          <t>Implementados</t>
        </is>
      </c>
    </row>
    <row r="16">
      <c r="A16" s="8" t="inlineStr">
        <is>
          <t>A.2 Políticas relacionadas con la IA</t>
        </is>
      </c>
      <c r="B16" s="8">
        <f>COUNTIFS(SoA!C5:C42,"A.2 *",SoA!E5:E42,"Sí")</f>
        <v/>
      </c>
      <c r="C16" s="8">
        <f>COUNTIFS(SoA!C5:C42,"A.2 *",SoA!E5:E42,"Sí",SoA!G5:G42,"Implementado")</f>
        <v/>
      </c>
    </row>
    <row r="17">
      <c r="A17" s="8" t="inlineStr">
        <is>
          <t>A.3 Organización interna</t>
        </is>
      </c>
      <c r="B17" s="8">
        <f>COUNTIFS(SoA!C5:C42,"A.3 *",SoA!E5:E42,"Sí")</f>
        <v/>
      </c>
      <c r="C17" s="8">
        <f>COUNTIFS(SoA!C5:C42,"A.3 *",SoA!E5:E42,"Sí",SoA!G5:G42,"Implementado")</f>
        <v/>
      </c>
    </row>
    <row r="18">
      <c r="A18" s="8" t="inlineStr">
        <is>
          <t>A.4 Recursos para sistemas de IA</t>
        </is>
      </c>
      <c r="B18" s="8">
        <f>COUNTIFS(SoA!C5:C42,"A.4 *",SoA!E5:E42,"Sí")</f>
        <v/>
      </c>
      <c r="C18" s="8">
        <f>COUNTIFS(SoA!C5:C42,"A.4 *",SoA!E5:E42,"Sí",SoA!G5:G42,"Implementado")</f>
        <v/>
      </c>
    </row>
    <row r="19">
      <c r="A19" s="8" t="inlineStr">
        <is>
          <t>A.5 Evaluación de impactos de los sistemas de IA</t>
        </is>
      </c>
      <c r="B19" s="8">
        <f>COUNTIFS(SoA!C5:C42,"A.5 *",SoA!E5:E42,"Sí")</f>
        <v/>
      </c>
      <c r="C19" s="8">
        <f>COUNTIFS(SoA!C5:C42,"A.5 *",SoA!E5:E42,"Sí",SoA!G5:G42,"Implementado")</f>
        <v/>
      </c>
    </row>
    <row r="20">
      <c r="A20" s="8" t="inlineStr">
        <is>
          <t>A.6 Ciclo de vida del sistema de IA</t>
        </is>
      </c>
      <c r="B20" s="8">
        <f>COUNTIFS(SoA!C5:C42,"A.6 *",SoA!E5:E42,"Sí")</f>
        <v/>
      </c>
      <c r="C20" s="8">
        <f>COUNTIFS(SoA!C5:C42,"A.6 *",SoA!E5:E42,"Sí",SoA!G5:G42,"Implementado")</f>
        <v/>
      </c>
    </row>
    <row r="21">
      <c r="A21" s="8" t="inlineStr">
        <is>
          <t>A.7 Datos para sistemas de IA</t>
        </is>
      </c>
      <c r="B21" s="8">
        <f>COUNTIFS(SoA!C5:C42,"A.7 *",SoA!E5:E42,"Sí")</f>
        <v/>
      </c>
      <c r="C21" s="8">
        <f>COUNTIFS(SoA!C5:C42,"A.7 *",SoA!E5:E42,"Sí",SoA!G5:G42,"Implementado")</f>
        <v/>
      </c>
    </row>
    <row r="22">
      <c r="A22" s="8" t="inlineStr">
        <is>
          <t>A.8 Información para las partes interesadas</t>
        </is>
      </c>
      <c r="B22" s="8">
        <f>COUNTIFS(SoA!C5:C42,"A.8 *",SoA!E5:E42,"Sí")</f>
        <v/>
      </c>
      <c r="C22" s="8">
        <f>COUNTIFS(SoA!C5:C42,"A.8 *",SoA!E5:E42,"Sí",SoA!G5:G42,"Implementado")</f>
        <v/>
      </c>
    </row>
    <row r="23">
      <c r="A23" s="8" t="inlineStr">
        <is>
          <t>A.9 Uso de sistemas de IA</t>
        </is>
      </c>
      <c r="B23" s="8">
        <f>COUNTIFS(SoA!C5:C42,"A.9 *",SoA!E5:E42,"Sí")</f>
        <v/>
      </c>
      <c r="C23" s="8">
        <f>COUNTIFS(SoA!C5:C42,"A.9 *",SoA!E5:E42,"Sí",SoA!G5:G42,"Implementado")</f>
        <v/>
      </c>
    </row>
    <row r="24">
      <c r="A24" s="8" t="inlineStr">
        <is>
          <t>A.10 Relaciones con terceros y clientes</t>
        </is>
      </c>
      <c r="B24" s="8">
        <f>COUNTIFS(SoA!C5:C42,"A.10 *",SoA!E5:E42,"Sí")</f>
        <v/>
      </c>
      <c r="C24" s="8">
        <f>COUNTIFS(SoA!C5:C42,"A.10 *",SoA!E5:E42,"Sí",SoA!G5:G42,"Implementado")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1" t="inlineStr">
        <is>
          <t>Aplica</t>
        </is>
      </c>
      <c r="B1" s="11" t="inlineStr">
        <is>
          <t>Estado</t>
        </is>
      </c>
    </row>
    <row r="2">
      <c r="A2" t="inlineStr">
        <is>
          <t>Sí</t>
        </is>
      </c>
      <c r="B2" t="inlineStr">
        <is>
          <t>No iniciado</t>
        </is>
      </c>
    </row>
    <row r="3">
      <c r="A3" t="inlineStr">
        <is>
          <t>No</t>
        </is>
      </c>
      <c r="B3" t="inlineStr">
        <is>
          <t>En curso</t>
        </is>
      </c>
    </row>
    <row r="4">
      <c r="B4" t="inlineStr">
        <is>
          <t>Implementado</t>
        </is>
      </c>
    </row>
    <row r="5">
      <c r="B5" t="inlineStr">
        <is>
          <t>No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Adrián Guzmán · Descifrando ISO 42001</dc:creator>
  <dc:title>Declaración de Aplicabilidad ISO/IEC 42001</dc:title>
  <dc:description>Plantilla de apoyo de la guía Descifrando ISO 42001. Interpretación del autor; no sustituye a la norma ISO/IEC 42001 ni es asesoría legal. Los nombres de los controles son traducciones libres.</dc:description>
  <dcterms:created xsi:type="dcterms:W3CDTF">2026-10-09T18:37:33Z</dcterms:created>
  <dcterms:modified xsi:type="dcterms:W3CDTF">2026-10-09T18:37:33Z</dcterms:modified>
  <cp:keywords>ISO/IEC 42001; SGIA; plantilla</cp:keywords>
</cp:coreProperties>
</file>