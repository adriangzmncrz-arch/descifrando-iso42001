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riterios" sheetId="2" state="visible" r:id="rId2"/>
    <sheet name="Registro de riesgos" sheetId="3" state="visible" r:id="rId3"/>
    <sheet name="Listas" sheetId="4" state="visible" r:id="rId4"/>
    <sheet name="Mapa inherente" sheetId="5" state="visible" r:id="rId5"/>
    <sheet name="Mapa residual" sheetId="6" state="visible" r:id="rId6"/>
  </sheets>
  <definedNames>
    <definedName name="_xlnm._FilterDatabase" localSheetId="2" hidden="1">'Registro de riesgos'!$A$4:$U$154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b val="1"/>
      <color rgb="00312E81"/>
      <sz val="16"/>
    </font>
    <font>
      <i val="1"/>
      <color rgb="00555555"/>
      <sz val="9"/>
    </font>
    <font>
      <color rgb="00555555"/>
      <sz val="9"/>
    </font>
    <font>
      <b val="1"/>
    </font>
    <font>
      <b val="1"/>
      <color rgb="00312E81"/>
      <sz val="14"/>
    </font>
    <font>
      <b val="1"/>
      <color rgb="00FFFFFF"/>
    </font>
    <font>
      <b val="1"/>
      <color rgb="00312E81"/>
    </font>
    <font>
      <i val="1"/>
      <color rgb="00991B1B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312E81"/>
      </patternFill>
    </fill>
    <fill>
      <patternFill patternType="solid">
        <fgColor rgb="00FED7AA"/>
      </patternFill>
    </fill>
    <fill>
      <patternFill patternType="solid">
        <fgColor rgb="00FECACA"/>
      </patternFill>
    </fill>
    <fill>
      <patternFill patternType="solid">
        <fgColor rgb="00FEF08A"/>
      </patternFill>
    </fill>
    <fill>
      <patternFill patternType="solid">
        <fgColor rgb="00BBF7D0"/>
      </patternFill>
    </fill>
    <fill>
      <patternFill patternType="solid">
        <fgColor rgb="00F4F5FB"/>
      </patternFill>
    </fill>
  </fills>
  <borders count="2">
    <border>
      <left/>
      <right/>
      <top/>
      <bottom/>
      <diagonal/>
    </border>
    <border>
      <left style="thin">
        <color rgb="00D9DCEF"/>
      </left>
      <right style="thin">
        <color rgb="00D9DCEF"/>
      </right>
      <top style="thin">
        <color rgb="00D9DCEF"/>
      </top>
      <bottom style="thin">
        <color rgb="00D9DCE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7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8" fillId="0" borderId="0" pivotButton="0" quotePrefix="0" xfId="0"/>
    <xf numFmtId="0" fontId="0" fillId="7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center" wrapText="1"/>
    </xf>
    <xf numFmtId="0" fontId="9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ill>
        <patternFill patternType="solid">
          <fgColor rgb="00BBF7D0"/>
        </patternFill>
      </fill>
    </dxf>
    <dxf>
      <fill>
        <patternFill patternType="solid">
          <fgColor rgb="00FEF08A"/>
        </patternFill>
      </fill>
    </dxf>
    <dxf>
      <fill>
        <patternFill patternType="solid">
          <fgColor rgb="00FED7AA"/>
        </patternFill>
      </fill>
    </dxf>
    <dxf>
      <fill>
        <patternFill patternType="solid">
          <fgColor rgb="00FECACA"/>
        </patternFill>
      </fill>
    </dxf>
    <dxf>
      <font>
        <b val="1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Metodología y matriz de evaluación de riesgos de IA</t>
        </is>
      </c>
    </row>
    <row r="2" ht="30" customHeight="1">
      <c r="A2" s="2" t="inlineStr">
        <is>
          <t>Plantilla de apoyo de la guía Descifrando ISO 42001. Interpretación del autor; no sustituye a la norma ISO/IEC 42001 ni es asesoría legal. Los nombres de los controles son traducciones libres.</t>
        </is>
      </c>
    </row>
    <row r="4">
      <c r="A4" s="3" t="inlineStr">
        <is>
          <t>1. Revisa y ajusta la hoja Criterios: escalas de consecuencia (para la organización, para individuos y para la sociedad), escala de probabilidad, matriz de clasificación y tabla de aceptación. Apruébalas como criterios de riesgo de IA (cláusula 6.1.1).</t>
        </is>
      </c>
    </row>
    <row r="5">
      <c r="A5" s="3" t="inlineStr">
        <is>
          <t>2. En Registro de riesgos, identifica cada riesgo por sistema de IA (o grupo de sistemas), con su fuente de riesgo (inspirada en el Anexo C) y su descripción en formato causa → evento → consecuencia.</t>
        </is>
      </c>
    </row>
    <row r="6">
      <c r="A6" s="3" t="inlineStr">
        <is>
          <t>3. Califica la consecuencia en las tres dimensiones. La consecuencia que cuenta es la PEOR de las tres (no el promedio): un riesgo puede ser leve para la organización y grave para las personas.</t>
        </is>
      </c>
    </row>
    <row r="7">
      <c r="A7" s="3" t="inlineStr">
        <is>
          <t>4. Califica la probabilidad (cuando aplique). La clasificación se obtiene de la matriz asimétrica de la hoja Criterios, que pesa más la consecuencia que la probabilidad.</t>
        </is>
      </c>
    </row>
    <row r="8">
      <c r="A8" s="3" t="inlineStr">
        <is>
          <t>5. Define el tratamiento, los controles del Anexo A y los controles propios, y vuelve a calificar el riesgo residual. Registra quién aprueba la aceptación del riesgo residual según la tabla de aceptación (6.1.3).</t>
        </is>
      </c>
    </row>
    <row r="9">
      <c r="A9" s="3" t="inlineStr">
        <is>
          <t>6. Usa los resultados de las evaluaciones de impacto (6.1.4) para calificar la consecuencia para individuos y sociedad.</t>
        </is>
      </c>
    </row>
    <row r="10">
      <c r="A10" s="3" t="inlineStr">
        <is>
          <t>7. Las hojas Mapa inherente y Mapa residual cuentan los riesgos en cada celda de la matriz 5 × 5.</t>
        </is>
      </c>
    </row>
    <row r="11">
      <c r="A11" s="3" t="inlineStr">
        <is>
          <t>8. Las filas de ejemplo corresponden a la empresa ficticia Monarca Crédito (caso práctico 2) y coinciden con el ejemplo resuelto de la cláusula 6 en la guía.</t>
        </is>
      </c>
    </row>
    <row r="13">
      <c r="A13" s="4" t="inlineStr">
        <is>
          <t>Autor: Carlos Adrián Guzmán · Descifrando ISO 42001 · Licencia CC BY-SA 4.0 · https://adriangzmncrz-arch.github.io/descifrando-iso42001/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44" customWidth="1" min="4" max="4"/>
    <col width="40" customWidth="1" min="5" max="5"/>
  </cols>
  <sheetData>
    <row r="1">
      <c r="A1" s="5" t="inlineStr">
        <is>
          <t>Criterios de riesgo de IA</t>
        </is>
      </c>
    </row>
    <row r="2">
      <c r="A2" s="6" t="inlineStr">
        <is>
          <t>Ajusta descriptores, matriz y tabla de aceptación a tu contexto y apruébalos (6.1.1).</t>
        </is>
      </c>
    </row>
    <row r="4" ht="36" customHeight="1">
      <c r="A4" s="7" t="inlineStr">
        <is>
          <t>Nivel</t>
        </is>
      </c>
      <c r="B4" s="7" t="inlineStr">
        <is>
          <t>Consecuencia</t>
        </is>
      </c>
      <c r="C4" s="7" t="inlineStr">
        <is>
          <t>Para la organización</t>
        </is>
      </c>
      <c r="D4" s="7" t="inlineStr">
        <is>
          <t>Para individuos o grupos</t>
        </is>
      </c>
      <c r="E4" s="7" t="inlineStr">
        <is>
          <t>Para la sociedad</t>
        </is>
      </c>
    </row>
    <row r="5">
      <c r="A5" s="8" t="n">
        <v>1</v>
      </c>
      <c r="B5" s="8" t="inlineStr">
        <is>
          <t>Insignificante</t>
        </is>
      </c>
      <c r="C5" s="8" t="inlineStr">
        <is>
          <t>Sin pérdida relevante ni atención externa</t>
        </is>
      </c>
      <c r="D5" s="8" t="inlineStr">
        <is>
          <t>Molestia que se corrige en el momento</t>
        </is>
      </c>
      <c r="E5" s="8" t="inlineStr">
        <is>
          <t>Sin efecto perceptible</t>
        </is>
      </c>
    </row>
    <row r="6">
      <c r="A6" s="8" t="n">
        <v>2</v>
      </c>
      <c r="B6" s="8" t="inlineStr">
        <is>
          <t>Menor</t>
        </is>
      </c>
      <c r="C6" s="8" t="inlineStr">
        <is>
          <t>Pérdida que el área absorbe; queja aislada</t>
        </is>
      </c>
      <c r="D6" s="8" t="inlineStr">
        <is>
          <t>Error que la persona corrige sola en días, sin costo</t>
        </is>
      </c>
      <c r="E6" s="8" t="inlineStr">
        <is>
          <t>Efecto local y aislado</t>
        </is>
      </c>
    </row>
    <row r="7">
      <c r="A7" s="8" t="n">
        <v>3</v>
      </c>
      <c r="B7" s="8" t="inlineStr">
        <is>
          <t>Moderada</t>
        </is>
      </c>
      <c r="C7" s="8" t="inlineStr">
        <is>
          <t>Reasignar presupuesto; requerimiento de una autoridad; quejas repetidas</t>
        </is>
      </c>
      <c r="D7" s="8" t="inlineStr">
        <is>
          <t>Afectación reversible con esfuerzo a derechos u oportunidades</t>
        </is>
      </c>
      <c r="E7" s="8" t="inlineStr">
        <is>
          <t>Afecta de forma reversible a un segmento identificable</t>
        </is>
      </c>
    </row>
    <row r="8">
      <c r="A8" s="8" t="n">
        <v>4</v>
      </c>
      <c r="B8" s="8" t="inlineStr">
        <is>
          <t>Mayor</t>
        </is>
      </c>
      <c r="C8" s="8" t="inlineStr">
        <is>
          <t>Sanción; pérdida de un cliente clave o de una alianza; prensa negativa</t>
        </is>
      </c>
      <c r="D8" s="8" t="inlineStr">
        <is>
          <t>Daño significativo y difícil de revertir: discriminación sistemática, exposición de datos sensibles</t>
        </is>
      </c>
      <c r="E8" s="8" t="inlineStr">
        <is>
          <t>Refuerza desigualdades o daña la confianza en un sector</t>
        </is>
      </c>
    </row>
    <row r="9">
      <c r="A9" s="8" t="n">
        <v>5</v>
      </c>
      <c r="B9" s="8" t="inlineStr">
        <is>
          <t>Severa</t>
        </is>
      </c>
      <c r="C9" s="8" t="inlineStr">
        <is>
          <t>Amenaza la continuidad del negocio o la licencia para operar</t>
        </is>
      </c>
      <c r="D9" s="8" t="inlineStr">
        <is>
          <t>Daño grave o irreversible a la vida, la salud, la libertad o el patrimonio</t>
        </is>
      </c>
      <c r="E9" s="8" t="inlineStr">
        <is>
          <t>Efecto sistémico o duradero en servicios esenciales o procesos democráticos</t>
        </is>
      </c>
    </row>
    <row r="12" ht="36" customHeight="1">
      <c r="A12" s="7" t="inlineStr">
        <is>
          <t>Nivel</t>
        </is>
      </c>
      <c r="B12" s="7" t="inlineStr">
        <is>
          <t>Probabilidad</t>
        </is>
      </c>
      <c r="C12" s="7" t="inlineStr">
        <is>
          <t>Descripción</t>
        </is>
      </c>
      <c r="D12" s="7" t="inlineStr">
        <is>
          <t>Guía de frecuencia (ejemplo)</t>
        </is>
      </c>
    </row>
    <row r="13">
      <c r="A13" s="8" t="n">
        <v>1</v>
      </c>
      <c r="B13" s="8" t="inlineStr">
        <is>
          <t>Rara</t>
        </is>
      </c>
      <c r="C13" s="8" t="inlineStr">
        <is>
          <t>No se espera en la vida del sistema</t>
        </is>
      </c>
      <c r="D13" s="8" t="inlineStr">
        <is>
          <t>Menos de una vez en cinco años o de 1 en 1 000 000 de decisiones</t>
        </is>
      </c>
    </row>
    <row r="14">
      <c r="A14" s="8" t="n">
        <v>2</v>
      </c>
      <c r="B14" s="8" t="inlineStr">
        <is>
          <t>Improbable</t>
        </is>
      </c>
      <c r="C14" s="8" t="inlineStr">
        <is>
          <t>Ha ocurrido en otras organizaciones, no en la nuestra</t>
        </is>
      </c>
      <c r="D14" s="8" t="inlineStr">
        <is>
          <t>Una vez cada dos a cinco años</t>
        </is>
      </c>
    </row>
    <row r="15">
      <c r="A15" s="8" t="n">
        <v>3</v>
      </c>
      <c r="B15" s="8" t="inlineStr">
        <is>
          <t>Posible</t>
        </is>
      </c>
      <c r="C15" s="8" t="inlineStr">
        <is>
          <t>Antecedentes internos aislados</t>
        </is>
      </c>
      <c r="D15" s="8" t="inlineStr">
        <is>
          <t>Una vez al año</t>
        </is>
      </c>
    </row>
    <row r="16">
      <c r="A16" s="8" t="n">
        <v>4</v>
      </c>
      <c r="B16" s="8" t="inlineStr">
        <is>
          <t>Probable</t>
        </is>
      </c>
      <c r="C16" s="8" t="inlineStr">
        <is>
          <t>Se observa varias veces al año o en las pruebas</t>
        </is>
      </c>
      <c r="D16" s="8" t="inlineStr">
        <is>
          <t>Trimestral o más de 1 en 10 000 decisiones</t>
        </is>
      </c>
    </row>
    <row r="17">
      <c r="A17" s="8" t="n">
        <v>5</v>
      </c>
      <c r="B17" s="8" t="inlineStr">
        <is>
          <t>Casi segura</t>
        </is>
      </c>
      <c r="C17" s="8" t="inlineStr">
        <is>
          <t>Ya está ocurriendo de forma recurrente</t>
        </is>
      </c>
      <c r="D17" s="8" t="inlineStr">
        <is>
          <t>Mensual o más de 1 en 1 000 decisiones</t>
        </is>
      </c>
    </row>
    <row r="19">
      <c r="A19" s="9" t="inlineStr">
        <is>
          <t>Matriz de clasificación (filas: consecuencia · columnas: probabilidad). Edita los textos si cambias tu apetito de riesgo.</t>
        </is>
      </c>
    </row>
    <row r="21">
      <c r="A21" s="10" t="inlineStr">
        <is>
          <t>C \ P</t>
        </is>
      </c>
      <c r="B21" s="11" t="n">
        <v>1</v>
      </c>
      <c r="C21" s="11" t="n">
        <v>2</v>
      </c>
      <c r="D21" s="11" t="n">
        <v>3</v>
      </c>
      <c r="E21" s="11" t="n">
        <v>4</v>
      </c>
      <c r="F21" s="11" t="n">
        <v>5</v>
      </c>
    </row>
    <row r="22">
      <c r="A22" s="10" t="n">
        <v>5</v>
      </c>
      <c r="B22" s="12" t="inlineStr">
        <is>
          <t>Alto</t>
        </is>
      </c>
      <c r="C22" s="12" t="inlineStr">
        <is>
          <t>Alto</t>
        </is>
      </c>
      <c r="D22" s="13" t="inlineStr">
        <is>
          <t>Crítico</t>
        </is>
      </c>
      <c r="E22" s="13" t="inlineStr">
        <is>
          <t>Crítico</t>
        </is>
      </c>
      <c r="F22" s="13" t="inlineStr">
        <is>
          <t>Crítico</t>
        </is>
      </c>
    </row>
    <row r="23">
      <c r="A23" s="10" t="n">
        <v>4</v>
      </c>
      <c r="B23" s="14" t="inlineStr">
        <is>
          <t>Medio</t>
        </is>
      </c>
      <c r="C23" s="12" t="inlineStr">
        <is>
          <t>Alto</t>
        </is>
      </c>
      <c r="D23" s="12" t="inlineStr">
        <is>
          <t>Alto</t>
        </is>
      </c>
      <c r="E23" s="13" t="inlineStr">
        <is>
          <t>Crítico</t>
        </is>
      </c>
      <c r="F23" s="13" t="inlineStr">
        <is>
          <t>Crítico</t>
        </is>
      </c>
    </row>
    <row r="24">
      <c r="A24" s="10" t="n">
        <v>3</v>
      </c>
      <c r="B24" s="15" t="inlineStr">
        <is>
          <t>Bajo</t>
        </is>
      </c>
      <c r="C24" s="14" t="inlineStr">
        <is>
          <t>Medio</t>
        </is>
      </c>
      <c r="D24" s="12" t="inlineStr">
        <is>
          <t>Alto</t>
        </is>
      </c>
      <c r="E24" s="12" t="inlineStr">
        <is>
          <t>Alto</t>
        </is>
      </c>
      <c r="F24" s="13" t="inlineStr">
        <is>
          <t>Crítico</t>
        </is>
      </c>
    </row>
    <row r="25">
      <c r="A25" s="10" t="n">
        <v>2</v>
      </c>
      <c r="B25" s="15" t="inlineStr">
        <is>
          <t>Bajo</t>
        </is>
      </c>
      <c r="C25" s="15" t="inlineStr">
        <is>
          <t>Bajo</t>
        </is>
      </c>
      <c r="D25" s="14" t="inlineStr">
        <is>
          <t>Medio</t>
        </is>
      </c>
      <c r="E25" s="14" t="inlineStr">
        <is>
          <t>Medio</t>
        </is>
      </c>
      <c r="F25" s="12" t="inlineStr">
        <is>
          <t>Alto</t>
        </is>
      </c>
    </row>
    <row r="26">
      <c r="A26" s="10" t="n">
        <v>1</v>
      </c>
      <c r="B26" s="15" t="inlineStr">
        <is>
          <t>Bajo</t>
        </is>
      </c>
      <c r="C26" s="15" t="inlineStr">
        <is>
          <t>Bajo</t>
        </is>
      </c>
      <c r="D26" s="15" t="inlineStr">
        <is>
          <t>Bajo</t>
        </is>
      </c>
      <c r="E26" s="14" t="inlineStr">
        <is>
          <t>Medio</t>
        </is>
      </c>
      <c r="F26" s="14" t="inlineStr">
        <is>
          <t>Medio</t>
        </is>
      </c>
    </row>
    <row r="29" ht="36" customHeight="1">
      <c r="A29" s="7" t="inlineStr">
        <is>
          <t>Nivel</t>
        </is>
      </c>
      <c r="B29" s="7" t="inlineStr">
        <is>
          <t>Decisión</t>
        </is>
      </c>
      <c r="C29" s="7" t="inlineStr">
        <is>
          <t>Plazo</t>
        </is>
      </c>
      <c r="D29" s="7" t="inlineStr">
        <is>
          <t>Quién acepta el residual</t>
        </is>
      </c>
      <c r="E29" s="7" t="inlineStr">
        <is>
          <t>Revisión</t>
        </is>
      </c>
    </row>
    <row r="30">
      <c r="A30" s="16" t="inlineStr">
        <is>
          <t>Bajo</t>
        </is>
      </c>
      <c r="B30" s="8" t="inlineStr">
        <is>
          <t>Aceptable con los controles existentes</t>
        </is>
      </c>
      <c r="C30" s="8" t="inlineStr">
        <is>
          <t>Sin plan</t>
        </is>
      </c>
      <c r="D30" s="8" t="inlineStr">
        <is>
          <t>Dueño del sistema de IA</t>
        </is>
      </c>
      <c r="E30" s="8" t="inlineStr">
        <is>
          <t>Anual</t>
        </is>
      </c>
    </row>
    <row r="31">
      <c r="A31" s="17" t="inlineStr">
        <is>
          <t>Medio</t>
        </is>
      </c>
      <c r="B31" s="8" t="inlineStr">
        <is>
          <t>Aceptable con monitoreo; tratar si el costo es razonable</t>
        </is>
      </c>
      <c r="C31" s="8" t="inlineStr">
        <is>
          <t>6 meses, si se trata</t>
        </is>
      </c>
      <c r="D31" s="8" t="inlineStr">
        <is>
          <t>Responsable del SGIA</t>
        </is>
      </c>
      <c r="E31" s="8" t="inlineStr">
        <is>
          <t>Semestral</t>
        </is>
      </c>
    </row>
    <row r="32">
      <c r="A32" s="18" t="inlineStr">
        <is>
          <t>Alto</t>
        </is>
      </c>
      <c r="B32" s="8" t="inlineStr">
        <is>
          <t>No aceptable sin tratamiento</t>
        </is>
      </c>
      <c r="C32" s="8" t="inlineStr">
        <is>
          <t>Plan en 30 días; ejecución en 90</t>
        </is>
      </c>
      <c r="D32" s="8" t="inlineStr">
        <is>
          <t>Comité de IA o dirección designada, informando a la alta dirección</t>
        </is>
      </c>
      <c r="E32" s="8" t="inlineStr">
        <is>
          <t>Trimestral</t>
        </is>
      </c>
    </row>
    <row r="33">
      <c r="A33" s="19" t="inlineStr">
        <is>
          <t>Crítico</t>
        </is>
      </c>
      <c r="B33" s="8" t="inlineStr">
        <is>
          <t>Inaceptable: no se lanza o se suspende la función</t>
        </is>
      </c>
      <c r="C33" s="8" t="inlineStr">
        <is>
          <t>Inmediato</t>
        </is>
      </c>
      <c r="D33" s="8" t="inlineStr">
        <is>
          <t>Sin aceptación permanente; excepción temporal solo con firma de la dirección general</t>
        </is>
      </c>
      <c r="E33" s="8" t="inlineStr">
        <is>
          <t>Mensual</t>
        </is>
      </c>
    </row>
    <row r="35">
      <c r="A35" s="20" t="inlineStr">
        <is>
          <t>Líneas rojas (no pasan por la matriz): incumplir deliberadamente una ley aplicable, desplegar un uso de IA prohibido en alguna jurisdicción donde operas o usar datos personales para una finalidad no informada.</t>
        </is>
      </c>
    </row>
  </sheetData>
  <conditionalFormatting sqref="B22:F26">
    <cfRule type="cellIs" priority="1" operator="equal" dxfId="0">
      <formula>"Bajo"</formula>
    </cfRule>
    <cfRule type="cellIs" priority="2" operator="equal" dxfId="1">
      <formula>"Medio"</formula>
    </cfRule>
    <cfRule type="cellIs" priority="3" operator="equal" dxfId="2">
      <formula>"Alto"</formula>
    </cfRule>
    <cfRule type="cellIs" priority="4" operator="equal" dxfId="3">
      <formula>"Crítico"</formula>
    </cfRule>
  </conditionalFormatting>
  <dataValidations count="1">
    <dataValidation sqref="B22:F26" showDropDown="0" showInputMessage="0" showErrorMessage="0" allowBlank="0" type="list">
      <formula1>"Bajo,Medio,Alto,Crítico"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50" customWidth="1" min="4" max="4"/>
    <col width="18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4" customWidth="1" min="12" max="12"/>
    <col width="24" customWidth="1" min="13" max="13"/>
    <col width="30" customWidth="1" min="14" max="14"/>
    <col width="11" customWidth="1" min="15" max="15"/>
    <col width="11" customWidth="1" min="16" max="16"/>
    <col width="13" customWidth="1" min="17" max="17"/>
    <col width="11" customWidth="1" min="18" max="18"/>
    <col width="18" customWidth="1" min="19" max="19"/>
    <col width="13" customWidth="1" min="20" max="20"/>
    <col width="13" customWidth="1" min="21" max="21"/>
  </cols>
  <sheetData>
    <row r="1">
      <c r="A1" s="5" t="inlineStr">
        <is>
          <t>Registro de riesgos de IA</t>
        </is>
      </c>
    </row>
    <row r="2">
      <c r="A2" s="6" t="inlineStr">
        <is>
          <t>Cláusulas 6.1.2, 6.1.3, 8.2 y 8.3</t>
        </is>
      </c>
    </row>
    <row r="4" ht="36" customHeight="1">
      <c r="A4" s="7" t="inlineStr">
        <is>
          <t>ID</t>
        </is>
      </c>
      <c r="B4" s="7" t="inlineStr">
        <is>
          <t>Sistema de IA</t>
        </is>
      </c>
      <c r="C4" s="7" t="inlineStr">
        <is>
          <t>Fuente de riesgo</t>
        </is>
      </c>
      <c r="D4" s="7" t="inlineStr">
        <is>
          <t>Descripción (causa → evento → consecuencia)</t>
        </is>
      </c>
      <c r="E4" s="7" t="inlineStr">
        <is>
          <t>Dueño del riesgo</t>
        </is>
      </c>
      <c r="F4" s="7" t="inlineStr">
        <is>
          <t>Consecuencia organización</t>
        </is>
      </c>
      <c r="G4" s="7" t="inlineStr">
        <is>
          <t>Consecuencia individuos</t>
        </is>
      </c>
      <c r="H4" s="7" t="inlineStr">
        <is>
          <t>Consecuencia sociedad</t>
        </is>
      </c>
      <c r="I4" s="7" t="inlineStr">
        <is>
          <t>Consecuencia (peor)</t>
        </is>
      </c>
      <c r="J4" s="7" t="inlineStr">
        <is>
          <t>Probabilidad</t>
        </is>
      </c>
      <c r="K4" s="7" t="inlineStr">
        <is>
          <t>Clasificación inherente</t>
        </is>
      </c>
      <c r="L4" s="7" t="inlineStr">
        <is>
          <t>Tratamiento</t>
        </is>
      </c>
      <c r="M4" s="7" t="inlineStr">
        <is>
          <t>Controles del Anexo A</t>
        </is>
      </c>
      <c r="N4" s="7" t="inlineStr">
        <is>
          <t>Controles propios o adicionales</t>
        </is>
      </c>
      <c r="O4" s="7" t="inlineStr">
        <is>
          <t>Consecuencia residual</t>
        </is>
      </c>
      <c r="P4" s="7" t="inlineStr">
        <is>
          <t>Probabilidad residual</t>
        </is>
      </c>
      <c r="Q4" s="7" t="inlineStr">
        <is>
          <t>Clasificación residual</t>
        </is>
      </c>
      <c r="R4" s="7" t="inlineStr">
        <is>
          <t>¿Residual aceptado?</t>
        </is>
      </c>
      <c r="S4" s="7" t="inlineStr">
        <is>
          <t>Aprobado por</t>
        </is>
      </c>
      <c r="T4" s="7" t="inlineStr">
        <is>
          <t>Estado</t>
        </is>
      </c>
      <c r="U4" s="7" t="inlineStr">
        <is>
          <t>Fecha de evaluación</t>
        </is>
      </c>
    </row>
    <row r="5">
      <c r="A5" s="8" t="inlineStr">
        <is>
          <t>R-01</t>
        </is>
      </c>
      <c r="B5" s="8" t="inlineStr">
        <is>
          <t>Score Monarca v3</t>
        </is>
      </c>
      <c r="C5" s="8" t="inlineStr">
        <is>
          <t>Aprendizaje automático (datos y entrenamiento)</t>
        </is>
      </c>
      <c r="D5" s="8" t="inlineStr">
        <is>
          <t>Variables sustitutas: el código postal se correlaciona con región e ingreso → el modelo podría rechazar de forma desproporcionada a solicitantes de ciertas entidades → negación de crédito a grupos enteros</t>
        </is>
      </c>
      <c r="E5" s="8" t="inlineStr">
        <is>
          <t>Director de Riesgos</t>
        </is>
      </c>
      <c r="F5" s="8" t="n">
        <v>4</v>
      </c>
      <c r="G5" s="8" t="n">
        <v>4</v>
      </c>
      <c r="H5" s="8" t="n">
        <v>3</v>
      </c>
      <c r="I5" s="21">
        <f>IF(COUNT(F5:H5)=0,"",MAX(F5:H5))</f>
        <v/>
      </c>
      <c r="J5" s="8" t="n">
        <v>3</v>
      </c>
      <c r="K5" s="21">
        <f>IF(OR(I5="",J5=""),"",INDEX(Criterios!$B$22:$F$26,6-I5,J5))</f>
        <v/>
      </c>
      <c r="L5" s="8" t="inlineStr">
        <is>
          <t>Mitigar</t>
        </is>
      </c>
      <c r="M5" s="8" t="inlineStr">
        <is>
          <t>A.7.4, A.7.6, A.6.2.4, A.5.4</t>
        </is>
      </c>
      <c r="N5" s="8" t="inlineStr">
        <is>
          <t>C-MOD-01 prueba de variables sustitutas en cada reentrenamiento</t>
        </is>
      </c>
      <c r="O5" s="8" t="n">
        <v>4</v>
      </c>
      <c r="P5" s="8" t="n">
        <v>1</v>
      </c>
      <c r="Q5" s="21">
        <f>IF(OR(O5="",P5=""),"",INDEX(Criterios!$B$22:$F$26,6-O5,P5))</f>
        <v/>
      </c>
      <c r="R5" s="8" t="inlineStr">
        <is>
          <t>Sí</t>
        </is>
      </c>
      <c r="S5" s="8" t="inlineStr">
        <is>
          <t>Comité de Modelos</t>
        </is>
      </c>
      <c r="T5" s="8" t="inlineStr">
        <is>
          <t>En tratamiento</t>
        </is>
      </c>
      <c r="U5" s="22" t="n">
        <v>46338</v>
      </c>
    </row>
    <row r="6">
      <c r="A6" s="8" t="inlineStr">
        <is>
          <t>R-02</t>
        </is>
      </c>
      <c r="B6" s="8" t="inlineStr">
        <is>
          <t>Score Monarca v3</t>
        </is>
      </c>
      <c r="C6" s="8" t="inlineStr">
        <is>
          <t>Ciclo de vida del sistema</t>
        </is>
      </c>
      <c r="D6" s="8" t="inlineStr">
        <is>
          <t>Deriva económica: cambios en inflación y empleo → los solicitantes dejan de parecerse a los de entrenamiento → morosidad y rechazos injustos</t>
        </is>
      </c>
      <c r="E6" s="8" t="inlineStr">
        <is>
          <t>Líder de Ciencia de Datos</t>
        </is>
      </c>
      <c r="F6" s="8" t="n">
        <v>4</v>
      </c>
      <c r="G6" s="8" t="n">
        <v>3</v>
      </c>
      <c r="H6" s="8" t="n">
        <v>2</v>
      </c>
      <c r="I6" s="21">
        <f>IF(COUNT(F6:H6)=0,"",MAX(F6:H6))</f>
        <v/>
      </c>
      <c r="J6" s="8" t="n">
        <v>4</v>
      </c>
      <c r="K6" s="21">
        <f>IF(OR(I6="",J6=""),"",INDEX(Criterios!$B$22:$F$26,6-I6,J6))</f>
        <v/>
      </c>
      <c r="L6" s="8" t="inlineStr">
        <is>
          <t>Mitigar</t>
        </is>
      </c>
      <c r="M6" s="8" t="inlineStr">
        <is>
          <t>A.6.2.6, A.6.2.8, A.6.2.5</t>
        </is>
      </c>
      <c r="N6" s="8" t="inlineStr">
        <is>
          <t>C-MON-02 interruptor: si el índice de estabilidad poblacional supera el umbral interno, todo pasa a la banda gris</t>
        </is>
      </c>
      <c r="O6" s="8" t="n">
        <v>3</v>
      </c>
      <c r="P6" s="8" t="n">
        <v>2</v>
      </c>
      <c r="Q6" s="21">
        <f>IF(OR(O6="",P6=""),"",INDEX(Criterios!$B$22:$F$26,6-O6,P6))</f>
        <v/>
      </c>
      <c r="R6" s="8" t="inlineStr">
        <is>
          <t>Sí</t>
        </is>
      </c>
      <c r="S6" s="8" t="inlineStr">
        <is>
          <t>Comité de Modelos</t>
        </is>
      </c>
      <c r="T6" s="8" t="inlineStr">
        <is>
          <t>En tratamiento</t>
        </is>
      </c>
      <c r="U6" s="22" t="n">
        <v>46338</v>
      </c>
    </row>
    <row r="7">
      <c r="A7" s="8" t="inlineStr">
        <is>
          <t>R-03</t>
        </is>
      </c>
      <c r="B7" s="8" t="inlineStr">
        <is>
          <t>Score Monarca v3</t>
        </is>
      </c>
      <c r="C7" s="8" t="inlineStr">
        <is>
          <t>Falta de transparencia o explicabilidad</t>
        </is>
      </c>
      <c r="D7" s="8" t="inlineStr">
        <is>
          <t>Rechazos sin explicación: el rechazo automático muestra un mensaje genérico → los solicitantes no pueden entender ni impugnar la decisión → quejas ante la autoridad de protección al usuario financiero</t>
        </is>
      </c>
      <c r="E7" s="8" t="inlineStr">
        <is>
          <t>Oficial de Cumplimiento</t>
        </is>
      </c>
      <c r="F7" s="8" t="n">
        <v>3</v>
      </c>
      <c r="G7" s="8" t="n">
        <v>4</v>
      </c>
      <c r="H7" s="8" t="n">
        <v>2</v>
      </c>
      <c r="I7" s="21">
        <f>IF(COUNT(F7:H7)=0,"",MAX(F7:H7))</f>
        <v/>
      </c>
      <c r="J7" s="8" t="n">
        <v>4</v>
      </c>
      <c r="K7" s="21">
        <f>IF(OR(I7="",J7=""),"",INDEX(Criterios!$B$22:$F$26,6-I7,J7))</f>
        <v/>
      </c>
      <c r="L7" s="8" t="inlineStr">
        <is>
          <t>Mitigar</t>
        </is>
      </c>
      <c r="M7" s="8" t="inlineStr">
        <is>
          <t>A.8.2, A.8.3, A.6.2.7</t>
        </is>
      </c>
      <c r="N7" s="8" t="inlineStr">
        <is>
          <t>C-EXP-01 motivos en lenguaje claro probados con usuarios</t>
        </is>
      </c>
      <c r="O7" s="8" t="n">
        <v>2</v>
      </c>
      <c r="P7" s="8" t="n">
        <v>3</v>
      </c>
      <c r="Q7" s="21">
        <f>IF(OR(O7="",P7=""),"",INDEX(Criterios!$B$22:$F$26,6-O7,P7))</f>
        <v/>
      </c>
      <c r="R7" s="8" t="inlineStr">
        <is>
          <t>Sí</t>
        </is>
      </c>
      <c r="S7" s="8" t="inlineStr">
        <is>
          <t>Comité de Modelos</t>
        </is>
      </c>
      <c r="T7" s="8" t="inlineStr">
        <is>
          <t>En tratamiento</t>
        </is>
      </c>
      <c r="U7" s="22" t="n">
        <v>46338</v>
      </c>
    </row>
    <row r="8">
      <c r="A8" s="8" t="inlineStr">
        <is>
          <t>R-04</t>
        </is>
      </c>
      <c r="B8" s="8" t="inlineStr">
        <is>
          <t>Score Monarca v3</t>
        </is>
      </c>
      <c r="C8" s="8" t="inlineStr">
        <is>
          <t>Privacidad y datos personales</t>
        </is>
      </c>
      <c r="D8" s="8" t="inlineStr">
        <is>
          <t>Datos fuera de finalidad: variables de uso de la app recolectadas para otra finalidad del aviso de privacidad → se usan en el modelo sin base adecuada → posible incumplimiento de la ley de datos personales</t>
        </is>
      </c>
      <c r="E8" s="8" t="inlineStr">
        <is>
          <t>Oficial de Privacidad</t>
        </is>
      </c>
      <c r="F8" s="8" t="n">
        <v>4</v>
      </c>
      <c r="G8" s="8" t="n">
        <v>3</v>
      </c>
      <c r="H8" s="8" t="n">
        <v>1</v>
      </c>
      <c r="I8" s="21">
        <f>IF(COUNT(F8:H8)=0,"",MAX(F8:H8))</f>
        <v/>
      </c>
      <c r="J8" s="8" t="n">
        <v>2</v>
      </c>
      <c r="K8" s="21">
        <f>IF(OR(I8="",J8=""),"",INDEX(Criterios!$B$22:$F$26,6-I8,J8))</f>
        <v/>
      </c>
      <c r="L8" s="8" t="inlineStr">
        <is>
          <t>Evitar</t>
        </is>
      </c>
      <c r="M8" s="8" t="inlineStr">
        <is>
          <t>A.7.3, A.7.5, A.4.3, A.2.3</t>
        </is>
      </c>
      <c r="N8" s="8" t="inlineStr">
        <is>
          <t>Retiro de las dos variables</t>
        </is>
      </c>
      <c r="O8" s="8" t="n">
        <v>4</v>
      </c>
      <c r="P8" s="8" t="n">
        <v>1</v>
      </c>
      <c r="Q8" s="21">
        <f>IF(OR(O8="",P8=""),"",INDEX(Criterios!$B$22:$F$26,6-O8,P8))</f>
        <v/>
      </c>
      <c r="R8" s="8" t="inlineStr">
        <is>
          <t>Sí</t>
        </is>
      </c>
      <c r="S8" s="8" t="inlineStr">
        <is>
          <t>Comité de Modelos</t>
        </is>
      </c>
      <c r="T8" s="8" t="inlineStr">
        <is>
          <t>Tratado</t>
        </is>
      </c>
      <c r="U8" s="22" t="n">
        <v>46338</v>
      </c>
    </row>
    <row r="9">
      <c r="A9" s="8" t="inlineStr">
        <is>
          <t>R-05</t>
        </is>
      </c>
      <c r="B9" s="8" t="inlineStr">
        <is>
          <t>Score Monarca v3</t>
        </is>
      </c>
      <c r="C9" s="8" t="inlineStr">
        <is>
          <t>Nivel de automatización</t>
        </is>
      </c>
      <c r="D9" s="8" t="inlineStr">
        <is>
          <t>Sesgo de automatización: por carga de trabajo, los analistas confirman casi siempre la sugerencia del modelo → la supervisión humana de la banda gris se vuelve ineficaz</t>
        </is>
      </c>
      <c r="E9" s="8" t="inlineStr">
        <is>
          <t>Director de Riesgos</t>
        </is>
      </c>
      <c r="F9" s="8" t="n">
        <v>3</v>
      </c>
      <c r="G9" s="8" t="n">
        <v>4</v>
      </c>
      <c r="H9" s="8" t="n">
        <v>2</v>
      </c>
      <c r="I9" s="21">
        <f>IF(COUNT(F9:H9)=0,"",MAX(F9:H9))</f>
        <v/>
      </c>
      <c r="J9" s="8" t="n">
        <v>3</v>
      </c>
      <c r="K9" s="21">
        <f>IF(OR(I9="",J9=""),"",INDEX(Criterios!$B$22:$F$26,6-I9,J9))</f>
        <v/>
      </c>
      <c r="L9" s="8" t="inlineStr">
        <is>
          <t>Mitigar</t>
        </is>
      </c>
      <c r="M9" s="8" t="inlineStr">
        <is>
          <t>A.9.3, A.4.6, A.6.2.6</t>
        </is>
      </c>
      <c r="N9" s="8" t="inlineStr">
        <is>
          <t>C-HUM-01: 5 % de la banda gris se presenta sin el score</t>
        </is>
      </c>
      <c r="O9" s="8" t="n">
        <v>4</v>
      </c>
      <c r="P9" s="8" t="n">
        <v>2</v>
      </c>
      <c r="Q9" s="21">
        <f>IF(OR(O9="",P9=""),"",INDEX(Criterios!$B$22:$F$26,6-O9,P9))</f>
        <v/>
      </c>
      <c r="R9" s="8" t="inlineStr">
        <is>
          <t>Temporal</t>
        </is>
      </c>
      <c r="S9" s="8" t="inlineStr">
        <is>
          <t>Comité de Modelos</t>
        </is>
      </c>
      <c r="T9" s="8" t="inlineStr">
        <is>
          <t>En tratamiento</t>
        </is>
      </c>
      <c r="U9" s="22" t="n">
        <v>46338</v>
      </c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21">
        <f>IF(COUNT(F10:H10)=0,"",MAX(F10:H10))</f>
        <v/>
      </c>
      <c r="J10" s="8" t="n"/>
      <c r="K10" s="21">
        <f>IF(OR(I10="",J10=""),"",INDEX(Criterios!$B$22:$F$26,6-I10,J10))</f>
        <v/>
      </c>
      <c r="L10" s="8" t="n"/>
      <c r="M10" s="8" t="n"/>
      <c r="N10" s="8" t="n"/>
      <c r="O10" s="8" t="n"/>
      <c r="P10" s="8" t="n"/>
      <c r="Q10" s="21">
        <f>IF(OR(O10="",P10=""),"",INDEX(Criterios!$B$22:$F$26,6-O10,P10))</f>
        <v/>
      </c>
      <c r="R10" s="8" t="n"/>
      <c r="S10" s="8" t="n"/>
      <c r="T10" s="8" t="n"/>
      <c r="U10" s="22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21">
        <f>IF(COUNT(F11:H11)=0,"",MAX(F11:H11))</f>
        <v/>
      </c>
      <c r="J11" s="8" t="n"/>
      <c r="K11" s="21">
        <f>IF(OR(I11="",J11=""),"",INDEX(Criterios!$B$22:$F$26,6-I11,J11))</f>
        <v/>
      </c>
      <c r="L11" s="8" t="n"/>
      <c r="M11" s="8" t="n"/>
      <c r="N11" s="8" t="n"/>
      <c r="O11" s="8" t="n"/>
      <c r="P11" s="8" t="n"/>
      <c r="Q11" s="21">
        <f>IF(OR(O11="",P11=""),"",INDEX(Criterios!$B$22:$F$26,6-O11,P11))</f>
        <v/>
      </c>
      <c r="R11" s="8" t="n"/>
      <c r="S11" s="8" t="n"/>
      <c r="T11" s="8" t="n"/>
      <c r="U11" s="22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21">
        <f>IF(COUNT(F12:H12)=0,"",MAX(F12:H12))</f>
        <v/>
      </c>
      <c r="J12" s="8" t="n"/>
      <c r="K12" s="21">
        <f>IF(OR(I12="",J12=""),"",INDEX(Criterios!$B$22:$F$26,6-I12,J12))</f>
        <v/>
      </c>
      <c r="L12" s="8" t="n"/>
      <c r="M12" s="8" t="n"/>
      <c r="N12" s="8" t="n"/>
      <c r="O12" s="8" t="n"/>
      <c r="P12" s="8" t="n"/>
      <c r="Q12" s="21">
        <f>IF(OR(O12="",P12=""),"",INDEX(Criterios!$B$22:$F$26,6-O12,P12))</f>
        <v/>
      </c>
      <c r="R12" s="8" t="n"/>
      <c r="S12" s="8" t="n"/>
      <c r="T12" s="8" t="n"/>
      <c r="U12" s="22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21">
        <f>IF(COUNT(F13:H13)=0,"",MAX(F13:H13))</f>
        <v/>
      </c>
      <c r="J13" s="8" t="n"/>
      <c r="K13" s="21">
        <f>IF(OR(I13="",J13=""),"",INDEX(Criterios!$B$22:$F$26,6-I13,J13))</f>
        <v/>
      </c>
      <c r="L13" s="8" t="n"/>
      <c r="M13" s="8" t="n"/>
      <c r="N13" s="8" t="n"/>
      <c r="O13" s="8" t="n"/>
      <c r="P13" s="8" t="n"/>
      <c r="Q13" s="21">
        <f>IF(OR(O13="",P13=""),"",INDEX(Criterios!$B$22:$F$26,6-O13,P13))</f>
        <v/>
      </c>
      <c r="R13" s="8" t="n"/>
      <c r="S13" s="8" t="n"/>
      <c r="T13" s="8" t="n"/>
      <c r="U13" s="22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21">
        <f>IF(COUNT(F14:H14)=0,"",MAX(F14:H14))</f>
        <v/>
      </c>
      <c r="J14" s="8" t="n"/>
      <c r="K14" s="21">
        <f>IF(OR(I14="",J14=""),"",INDEX(Criterios!$B$22:$F$26,6-I14,J14))</f>
        <v/>
      </c>
      <c r="L14" s="8" t="n"/>
      <c r="M14" s="8" t="n"/>
      <c r="N14" s="8" t="n"/>
      <c r="O14" s="8" t="n"/>
      <c r="P14" s="8" t="n"/>
      <c r="Q14" s="21">
        <f>IF(OR(O14="",P14=""),"",INDEX(Criterios!$B$22:$F$26,6-O14,P14))</f>
        <v/>
      </c>
      <c r="R14" s="8" t="n"/>
      <c r="S14" s="8" t="n"/>
      <c r="T14" s="8" t="n"/>
      <c r="U14" s="22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21">
        <f>IF(COUNT(F15:H15)=0,"",MAX(F15:H15))</f>
        <v/>
      </c>
      <c r="J15" s="8" t="n"/>
      <c r="K15" s="21">
        <f>IF(OR(I15="",J15=""),"",INDEX(Criterios!$B$22:$F$26,6-I15,J15))</f>
        <v/>
      </c>
      <c r="L15" s="8" t="n"/>
      <c r="M15" s="8" t="n"/>
      <c r="N15" s="8" t="n"/>
      <c r="O15" s="8" t="n"/>
      <c r="P15" s="8" t="n"/>
      <c r="Q15" s="21">
        <f>IF(OR(O15="",P15=""),"",INDEX(Criterios!$B$22:$F$26,6-O15,P15))</f>
        <v/>
      </c>
      <c r="R15" s="8" t="n"/>
      <c r="S15" s="8" t="n"/>
      <c r="T15" s="8" t="n"/>
      <c r="U15" s="22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21">
        <f>IF(COUNT(F16:H16)=0,"",MAX(F16:H16))</f>
        <v/>
      </c>
      <c r="J16" s="8" t="n"/>
      <c r="K16" s="21">
        <f>IF(OR(I16="",J16=""),"",INDEX(Criterios!$B$22:$F$26,6-I16,J16))</f>
        <v/>
      </c>
      <c r="L16" s="8" t="n"/>
      <c r="M16" s="8" t="n"/>
      <c r="N16" s="8" t="n"/>
      <c r="O16" s="8" t="n"/>
      <c r="P16" s="8" t="n"/>
      <c r="Q16" s="21">
        <f>IF(OR(O16="",P16=""),"",INDEX(Criterios!$B$22:$F$26,6-O16,P16))</f>
        <v/>
      </c>
      <c r="R16" s="8" t="n"/>
      <c r="S16" s="8" t="n"/>
      <c r="T16" s="8" t="n"/>
      <c r="U16" s="22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21">
        <f>IF(COUNT(F17:H17)=0,"",MAX(F17:H17))</f>
        <v/>
      </c>
      <c r="J17" s="8" t="n"/>
      <c r="K17" s="21">
        <f>IF(OR(I17="",J17=""),"",INDEX(Criterios!$B$22:$F$26,6-I17,J17))</f>
        <v/>
      </c>
      <c r="L17" s="8" t="n"/>
      <c r="M17" s="8" t="n"/>
      <c r="N17" s="8" t="n"/>
      <c r="O17" s="8" t="n"/>
      <c r="P17" s="8" t="n"/>
      <c r="Q17" s="21">
        <f>IF(OR(O17="",P17=""),"",INDEX(Criterios!$B$22:$F$26,6-O17,P17))</f>
        <v/>
      </c>
      <c r="R17" s="8" t="n"/>
      <c r="S17" s="8" t="n"/>
      <c r="T17" s="8" t="n"/>
      <c r="U17" s="22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21">
        <f>IF(COUNT(F18:H18)=0,"",MAX(F18:H18))</f>
        <v/>
      </c>
      <c r="J18" s="8" t="n"/>
      <c r="K18" s="21">
        <f>IF(OR(I18="",J18=""),"",INDEX(Criterios!$B$22:$F$26,6-I18,J18))</f>
        <v/>
      </c>
      <c r="L18" s="8" t="n"/>
      <c r="M18" s="8" t="n"/>
      <c r="N18" s="8" t="n"/>
      <c r="O18" s="8" t="n"/>
      <c r="P18" s="8" t="n"/>
      <c r="Q18" s="21">
        <f>IF(OR(O18="",P18=""),"",INDEX(Criterios!$B$22:$F$26,6-O18,P18))</f>
        <v/>
      </c>
      <c r="R18" s="8" t="n"/>
      <c r="S18" s="8" t="n"/>
      <c r="T18" s="8" t="n"/>
      <c r="U18" s="22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21">
        <f>IF(COUNT(F19:H19)=0,"",MAX(F19:H19))</f>
        <v/>
      </c>
      <c r="J19" s="8" t="n"/>
      <c r="K19" s="21">
        <f>IF(OR(I19="",J19=""),"",INDEX(Criterios!$B$22:$F$26,6-I19,J19))</f>
        <v/>
      </c>
      <c r="L19" s="8" t="n"/>
      <c r="M19" s="8" t="n"/>
      <c r="N19" s="8" t="n"/>
      <c r="O19" s="8" t="n"/>
      <c r="P19" s="8" t="n"/>
      <c r="Q19" s="21">
        <f>IF(OR(O19="",P19=""),"",INDEX(Criterios!$B$22:$F$26,6-O19,P19))</f>
        <v/>
      </c>
      <c r="R19" s="8" t="n"/>
      <c r="S19" s="8" t="n"/>
      <c r="T19" s="8" t="n"/>
      <c r="U19" s="22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21">
        <f>IF(COUNT(F20:H20)=0,"",MAX(F20:H20))</f>
        <v/>
      </c>
      <c r="J20" s="8" t="n"/>
      <c r="K20" s="21">
        <f>IF(OR(I20="",J20=""),"",INDEX(Criterios!$B$22:$F$26,6-I20,J20))</f>
        <v/>
      </c>
      <c r="L20" s="8" t="n"/>
      <c r="M20" s="8" t="n"/>
      <c r="N20" s="8" t="n"/>
      <c r="O20" s="8" t="n"/>
      <c r="P20" s="8" t="n"/>
      <c r="Q20" s="21">
        <f>IF(OR(O20="",P20=""),"",INDEX(Criterios!$B$22:$F$26,6-O20,P20))</f>
        <v/>
      </c>
      <c r="R20" s="8" t="n"/>
      <c r="S20" s="8" t="n"/>
      <c r="T20" s="8" t="n"/>
      <c r="U20" s="22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21">
        <f>IF(COUNT(F21:H21)=0,"",MAX(F21:H21))</f>
        <v/>
      </c>
      <c r="J21" s="8" t="n"/>
      <c r="K21" s="21">
        <f>IF(OR(I21="",J21=""),"",INDEX(Criterios!$B$22:$F$26,6-I21,J21))</f>
        <v/>
      </c>
      <c r="L21" s="8" t="n"/>
      <c r="M21" s="8" t="n"/>
      <c r="N21" s="8" t="n"/>
      <c r="O21" s="8" t="n"/>
      <c r="P21" s="8" t="n"/>
      <c r="Q21" s="21">
        <f>IF(OR(O21="",P21=""),"",INDEX(Criterios!$B$22:$F$26,6-O21,P21))</f>
        <v/>
      </c>
      <c r="R21" s="8" t="n"/>
      <c r="S21" s="8" t="n"/>
      <c r="T21" s="8" t="n"/>
      <c r="U21" s="22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21">
        <f>IF(COUNT(F22:H22)=0,"",MAX(F22:H22))</f>
        <v/>
      </c>
      <c r="J22" s="8" t="n"/>
      <c r="K22" s="21">
        <f>IF(OR(I22="",J22=""),"",INDEX(Criterios!$B$22:$F$26,6-I22,J22))</f>
        <v/>
      </c>
      <c r="L22" s="8" t="n"/>
      <c r="M22" s="8" t="n"/>
      <c r="N22" s="8" t="n"/>
      <c r="O22" s="8" t="n"/>
      <c r="P22" s="8" t="n"/>
      <c r="Q22" s="21">
        <f>IF(OR(O22="",P22=""),"",INDEX(Criterios!$B$22:$F$26,6-O22,P22))</f>
        <v/>
      </c>
      <c r="R22" s="8" t="n"/>
      <c r="S22" s="8" t="n"/>
      <c r="T22" s="8" t="n"/>
      <c r="U22" s="22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21">
        <f>IF(COUNT(F23:H23)=0,"",MAX(F23:H23))</f>
        <v/>
      </c>
      <c r="J23" s="8" t="n"/>
      <c r="K23" s="21">
        <f>IF(OR(I23="",J23=""),"",INDEX(Criterios!$B$22:$F$26,6-I23,J23))</f>
        <v/>
      </c>
      <c r="L23" s="8" t="n"/>
      <c r="M23" s="8" t="n"/>
      <c r="N23" s="8" t="n"/>
      <c r="O23" s="8" t="n"/>
      <c r="P23" s="8" t="n"/>
      <c r="Q23" s="21">
        <f>IF(OR(O23="",P23=""),"",INDEX(Criterios!$B$22:$F$26,6-O23,P23))</f>
        <v/>
      </c>
      <c r="R23" s="8" t="n"/>
      <c r="S23" s="8" t="n"/>
      <c r="T23" s="8" t="n"/>
      <c r="U23" s="22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21">
        <f>IF(COUNT(F24:H24)=0,"",MAX(F24:H24))</f>
        <v/>
      </c>
      <c r="J24" s="8" t="n"/>
      <c r="K24" s="21">
        <f>IF(OR(I24="",J24=""),"",INDEX(Criterios!$B$22:$F$26,6-I24,J24))</f>
        <v/>
      </c>
      <c r="L24" s="8" t="n"/>
      <c r="M24" s="8" t="n"/>
      <c r="N24" s="8" t="n"/>
      <c r="O24" s="8" t="n"/>
      <c r="P24" s="8" t="n"/>
      <c r="Q24" s="21">
        <f>IF(OR(O24="",P24=""),"",INDEX(Criterios!$B$22:$F$26,6-O24,P24))</f>
        <v/>
      </c>
      <c r="R24" s="8" t="n"/>
      <c r="S24" s="8" t="n"/>
      <c r="T24" s="8" t="n"/>
      <c r="U24" s="22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21">
        <f>IF(COUNT(F25:H25)=0,"",MAX(F25:H25))</f>
        <v/>
      </c>
      <c r="J25" s="8" t="n"/>
      <c r="K25" s="21">
        <f>IF(OR(I25="",J25=""),"",INDEX(Criterios!$B$22:$F$26,6-I25,J25))</f>
        <v/>
      </c>
      <c r="L25" s="8" t="n"/>
      <c r="M25" s="8" t="n"/>
      <c r="N25" s="8" t="n"/>
      <c r="O25" s="8" t="n"/>
      <c r="P25" s="8" t="n"/>
      <c r="Q25" s="21">
        <f>IF(OR(O25="",P25=""),"",INDEX(Criterios!$B$22:$F$26,6-O25,P25))</f>
        <v/>
      </c>
      <c r="R25" s="8" t="n"/>
      <c r="S25" s="8" t="n"/>
      <c r="T25" s="8" t="n"/>
      <c r="U25" s="22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21">
        <f>IF(COUNT(F26:H26)=0,"",MAX(F26:H26))</f>
        <v/>
      </c>
      <c r="J26" s="8" t="n"/>
      <c r="K26" s="21">
        <f>IF(OR(I26="",J26=""),"",INDEX(Criterios!$B$22:$F$26,6-I26,J26))</f>
        <v/>
      </c>
      <c r="L26" s="8" t="n"/>
      <c r="M26" s="8" t="n"/>
      <c r="N26" s="8" t="n"/>
      <c r="O26" s="8" t="n"/>
      <c r="P26" s="8" t="n"/>
      <c r="Q26" s="21">
        <f>IF(OR(O26="",P26=""),"",INDEX(Criterios!$B$22:$F$26,6-O26,P26))</f>
        <v/>
      </c>
      <c r="R26" s="8" t="n"/>
      <c r="S26" s="8" t="n"/>
      <c r="T26" s="8" t="n"/>
      <c r="U26" s="22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21">
        <f>IF(COUNT(F27:H27)=0,"",MAX(F27:H27))</f>
        <v/>
      </c>
      <c r="J27" s="8" t="n"/>
      <c r="K27" s="21">
        <f>IF(OR(I27="",J27=""),"",INDEX(Criterios!$B$22:$F$26,6-I27,J27))</f>
        <v/>
      </c>
      <c r="L27" s="8" t="n"/>
      <c r="M27" s="8" t="n"/>
      <c r="N27" s="8" t="n"/>
      <c r="O27" s="8" t="n"/>
      <c r="P27" s="8" t="n"/>
      <c r="Q27" s="21">
        <f>IF(OR(O27="",P27=""),"",INDEX(Criterios!$B$22:$F$26,6-O27,P27))</f>
        <v/>
      </c>
      <c r="R27" s="8" t="n"/>
      <c r="S27" s="8" t="n"/>
      <c r="T27" s="8" t="n"/>
      <c r="U27" s="22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21">
        <f>IF(COUNT(F28:H28)=0,"",MAX(F28:H28))</f>
        <v/>
      </c>
      <c r="J28" s="8" t="n"/>
      <c r="K28" s="21">
        <f>IF(OR(I28="",J28=""),"",INDEX(Criterios!$B$22:$F$26,6-I28,J28))</f>
        <v/>
      </c>
      <c r="L28" s="8" t="n"/>
      <c r="M28" s="8" t="n"/>
      <c r="N28" s="8" t="n"/>
      <c r="O28" s="8" t="n"/>
      <c r="P28" s="8" t="n"/>
      <c r="Q28" s="21">
        <f>IF(OR(O28="",P28=""),"",INDEX(Criterios!$B$22:$F$26,6-O28,P28))</f>
        <v/>
      </c>
      <c r="R28" s="8" t="n"/>
      <c r="S28" s="8" t="n"/>
      <c r="T28" s="8" t="n"/>
      <c r="U28" s="22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21">
        <f>IF(COUNT(F29:H29)=0,"",MAX(F29:H29))</f>
        <v/>
      </c>
      <c r="J29" s="8" t="n"/>
      <c r="K29" s="21">
        <f>IF(OR(I29="",J29=""),"",INDEX(Criterios!$B$22:$F$26,6-I29,J29))</f>
        <v/>
      </c>
      <c r="L29" s="8" t="n"/>
      <c r="M29" s="8" t="n"/>
      <c r="N29" s="8" t="n"/>
      <c r="O29" s="8" t="n"/>
      <c r="P29" s="8" t="n"/>
      <c r="Q29" s="21">
        <f>IF(OR(O29="",P29=""),"",INDEX(Criterios!$B$22:$F$26,6-O29,P29))</f>
        <v/>
      </c>
      <c r="R29" s="8" t="n"/>
      <c r="S29" s="8" t="n"/>
      <c r="T29" s="8" t="n"/>
      <c r="U29" s="22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21">
        <f>IF(COUNT(F30:H30)=0,"",MAX(F30:H30))</f>
        <v/>
      </c>
      <c r="J30" s="8" t="n"/>
      <c r="K30" s="21">
        <f>IF(OR(I30="",J30=""),"",INDEX(Criterios!$B$22:$F$26,6-I30,J30))</f>
        <v/>
      </c>
      <c r="L30" s="8" t="n"/>
      <c r="M30" s="8" t="n"/>
      <c r="N30" s="8" t="n"/>
      <c r="O30" s="8" t="n"/>
      <c r="P30" s="8" t="n"/>
      <c r="Q30" s="21">
        <f>IF(OR(O30="",P30=""),"",INDEX(Criterios!$B$22:$F$26,6-O30,P30))</f>
        <v/>
      </c>
      <c r="R30" s="8" t="n"/>
      <c r="S30" s="8" t="n"/>
      <c r="T30" s="8" t="n"/>
      <c r="U30" s="22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21">
        <f>IF(COUNT(F31:H31)=0,"",MAX(F31:H31))</f>
        <v/>
      </c>
      <c r="J31" s="8" t="n"/>
      <c r="K31" s="21">
        <f>IF(OR(I31="",J31=""),"",INDEX(Criterios!$B$22:$F$26,6-I31,J31))</f>
        <v/>
      </c>
      <c r="L31" s="8" t="n"/>
      <c r="M31" s="8" t="n"/>
      <c r="N31" s="8" t="n"/>
      <c r="O31" s="8" t="n"/>
      <c r="P31" s="8" t="n"/>
      <c r="Q31" s="21">
        <f>IF(OR(O31="",P31=""),"",INDEX(Criterios!$B$22:$F$26,6-O31,P31))</f>
        <v/>
      </c>
      <c r="R31" s="8" t="n"/>
      <c r="S31" s="8" t="n"/>
      <c r="T31" s="8" t="n"/>
      <c r="U31" s="22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21">
        <f>IF(COUNT(F32:H32)=0,"",MAX(F32:H32))</f>
        <v/>
      </c>
      <c r="J32" s="8" t="n"/>
      <c r="K32" s="21">
        <f>IF(OR(I32="",J32=""),"",INDEX(Criterios!$B$22:$F$26,6-I32,J32))</f>
        <v/>
      </c>
      <c r="L32" s="8" t="n"/>
      <c r="M32" s="8" t="n"/>
      <c r="N32" s="8" t="n"/>
      <c r="O32" s="8" t="n"/>
      <c r="P32" s="8" t="n"/>
      <c r="Q32" s="21">
        <f>IF(OR(O32="",P32=""),"",INDEX(Criterios!$B$22:$F$26,6-O32,P32))</f>
        <v/>
      </c>
      <c r="R32" s="8" t="n"/>
      <c r="S32" s="8" t="n"/>
      <c r="T32" s="8" t="n"/>
      <c r="U32" s="22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21">
        <f>IF(COUNT(F33:H33)=0,"",MAX(F33:H33))</f>
        <v/>
      </c>
      <c r="J33" s="8" t="n"/>
      <c r="K33" s="21">
        <f>IF(OR(I33="",J33=""),"",INDEX(Criterios!$B$22:$F$26,6-I33,J33))</f>
        <v/>
      </c>
      <c r="L33" s="8" t="n"/>
      <c r="M33" s="8" t="n"/>
      <c r="N33" s="8" t="n"/>
      <c r="O33" s="8" t="n"/>
      <c r="P33" s="8" t="n"/>
      <c r="Q33" s="21">
        <f>IF(OR(O33="",P33=""),"",INDEX(Criterios!$B$22:$F$26,6-O33,P33))</f>
        <v/>
      </c>
      <c r="R33" s="8" t="n"/>
      <c r="S33" s="8" t="n"/>
      <c r="T33" s="8" t="n"/>
      <c r="U33" s="22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21">
        <f>IF(COUNT(F34:H34)=0,"",MAX(F34:H34))</f>
        <v/>
      </c>
      <c r="J34" s="8" t="n"/>
      <c r="K34" s="21">
        <f>IF(OR(I34="",J34=""),"",INDEX(Criterios!$B$22:$F$26,6-I34,J34))</f>
        <v/>
      </c>
      <c r="L34" s="8" t="n"/>
      <c r="M34" s="8" t="n"/>
      <c r="N34" s="8" t="n"/>
      <c r="O34" s="8" t="n"/>
      <c r="P34" s="8" t="n"/>
      <c r="Q34" s="21">
        <f>IF(OR(O34="",P34=""),"",INDEX(Criterios!$B$22:$F$26,6-O34,P34))</f>
        <v/>
      </c>
      <c r="R34" s="8" t="n"/>
      <c r="S34" s="8" t="n"/>
      <c r="T34" s="8" t="n"/>
      <c r="U34" s="22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21">
        <f>IF(COUNT(F35:H35)=0,"",MAX(F35:H35))</f>
        <v/>
      </c>
      <c r="J35" s="8" t="n"/>
      <c r="K35" s="21">
        <f>IF(OR(I35="",J35=""),"",INDEX(Criterios!$B$22:$F$26,6-I35,J35))</f>
        <v/>
      </c>
      <c r="L35" s="8" t="n"/>
      <c r="M35" s="8" t="n"/>
      <c r="N35" s="8" t="n"/>
      <c r="O35" s="8" t="n"/>
      <c r="P35" s="8" t="n"/>
      <c r="Q35" s="21">
        <f>IF(OR(O35="",P35=""),"",INDEX(Criterios!$B$22:$F$26,6-O35,P35))</f>
        <v/>
      </c>
      <c r="R35" s="8" t="n"/>
      <c r="S35" s="8" t="n"/>
      <c r="T35" s="8" t="n"/>
      <c r="U35" s="22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21">
        <f>IF(COUNT(F36:H36)=0,"",MAX(F36:H36))</f>
        <v/>
      </c>
      <c r="J36" s="8" t="n"/>
      <c r="K36" s="21">
        <f>IF(OR(I36="",J36=""),"",INDEX(Criterios!$B$22:$F$26,6-I36,J36))</f>
        <v/>
      </c>
      <c r="L36" s="8" t="n"/>
      <c r="M36" s="8" t="n"/>
      <c r="N36" s="8" t="n"/>
      <c r="O36" s="8" t="n"/>
      <c r="P36" s="8" t="n"/>
      <c r="Q36" s="21">
        <f>IF(OR(O36="",P36=""),"",INDEX(Criterios!$B$22:$F$26,6-O36,P36))</f>
        <v/>
      </c>
      <c r="R36" s="8" t="n"/>
      <c r="S36" s="8" t="n"/>
      <c r="T36" s="8" t="n"/>
      <c r="U36" s="22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21">
        <f>IF(COUNT(F37:H37)=0,"",MAX(F37:H37))</f>
        <v/>
      </c>
      <c r="J37" s="8" t="n"/>
      <c r="K37" s="21">
        <f>IF(OR(I37="",J37=""),"",INDEX(Criterios!$B$22:$F$26,6-I37,J37))</f>
        <v/>
      </c>
      <c r="L37" s="8" t="n"/>
      <c r="M37" s="8" t="n"/>
      <c r="N37" s="8" t="n"/>
      <c r="O37" s="8" t="n"/>
      <c r="P37" s="8" t="n"/>
      <c r="Q37" s="21">
        <f>IF(OR(O37="",P37=""),"",INDEX(Criterios!$B$22:$F$26,6-O37,P37))</f>
        <v/>
      </c>
      <c r="R37" s="8" t="n"/>
      <c r="S37" s="8" t="n"/>
      <c r="T37" s="8" t="n"/>
      <c r="U37" s="22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21">
        <f>IF(COUNT(F38:H38)=0,"",MAX(F38:H38))</f>
        <v/>
      </c>
      <c r="J38" s="8" t="n"/>
      <c r="K38" s="21">
        <f>IF(OR(I38="",J38=""),"",INDEX(Criterios!$B$22:$F$26,6-I38,J38))</f>
        <v/>
      </c>
      <c r="L38" s="8" t="n"/>
      <c r="M38" s="8" t="n"/>
      <c r="N38" s="8" t="n"/>
      <c r="O38" s="8" t="n"/>
      <c r="P38" s="8" t="n"/>
      <c r="Q38" s="21">
        <f>IF(OR(O38="",P38=""),"",INDEX(Criterios!$B$22:$F$26,6-O38,P38))</f>
        <v/>
      </c>
      <c r="R38" s="8" t="n"/>
      <c r="S38" s="8" t="n"/>
      <c r="T38" s="8" t="n"/>
      <c r="U38" s="22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21">
        <f>IF(COUNT(F39:H39)=0,"",MAX(F39:H39))</f>
        <v/>
      </c>
      <c r="J39" s="8" t="n"/>
      <c r="K39" s="21">
        <f>IF(OR(I39="",J39=""),"",INDEX(Criterios!$B$22:$F$26,6-I39,J39))</f>
        <v/>
      </c>
      <c r="L39" s="8" t="n"/>
      <c r="M39" s="8" t="n"/>
      <c r="N39" s="8" t="n"/>
      <c r="O39" s="8" t="n"/>
      <c r="P39" s="8" t="n"/>
      <c r="Q39" s="21">
        <f>IF(OR(O39="",P39=""),"",INDEX(Criterios!$B$22:$F$26,6-O39,P39))</f>
        <v/>
      </c>
      <c r="R39" s="8" t="n"/>
      <c r="S39" s="8" t="n"/>
      <c r="T39" s="8" t="n"/>
      <c r="U39" s="22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21">
        <f>IF(COUNT(F40:H40)=0,"",MAX(F40:H40))</f>
        <v/>
      </c>
      <c r="J40" s="8" t="n"/>
      <c r="K40" s="21">
        <f>IF(OR(I40="",J40=""),"",INDEX(Criterios!$B$22:$F$26,6-I40,J40))</f>
        <v/>
      </c>
      <c r="L40" s="8" t="n"/>
      <c r="M40" s="8" t="n"/>
      <c r="N40" s="8" t="n"/>
      <c r="O40" s="8" t="n"/>
      <c r="P40" s="8" t="n"/>
      <c r="Q40" s="21">
        <f>IF(OR(O40="",P40=""),"",INDEX(Criterios!$B$22:$F$26,6-O40,P40))</f>
        <v/>
      </c>
      <c r="R40" s="8" t="n"/>
      <c r="S40" s="8" t="n"/>
      <c r="T40" s="8" t="n"/>
      <c r="U40" s="22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21">
        <f>IF(COUNT(F41:H41)=0,"",MAX(F41:H41))</f>
        <v/>
      </c>
      <c r="J41" s="8" t="n"/>
      <c r="K41" s="21">
        <f>IF(OR(I41="",J41=""),"",INDEX(Criterios!$B$22:$F$26,6-I41,J41))</f>
        <v/>
      </c>
      <c r="L41" s="8" t="n"/>
      <c r="M41" s="8" t="n"/>
      <c r="N41" s="8" t="n"/>
      <c r="O41" s="8" t="n"/>
      <c r="P41" s="8" t="n"/>
      <c r="Q41" s="21">
        <f>IF(OR(O41="",P41=""),"",INDEX(Criterios!$B$22:$F$26,6-O41,P41))</f>
        <v/>
      </c>
      <c r="R41" s="8" t="n"/>
      <c r="S41" s="8" t="n"/>
      <c r="T41" s="8" t="n"/>
      <c r="U41" s="22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21">
        <f>IF(COUNT(F42:H42)=0,"",MAX(F42:H42))</f>
        <v/>
      </c>
      <c r="J42" s="8" t="n"/>
      <c r="K42" s="21">
        <f>IF(OR(I42="",J42=""),"",INDEX(Criterios!$B$22:$F$26,6-I42,J42))</f>
        <v/>
      </c>
      <c r="L42" s="8" t="n"/>
      <c r="M42" s="8" t="n"/>
      <c r="N42" s="8" t="n"/>
      <c r="O42" s="8" t="n"/>
      <c r="P42" s="8" t="n"/>
      <c r="Q42" s="21">
        <f>IF(OR(O42="",P42=""),"",INDEX(Criterios!$B$22:$F$26,6-O42,P42))</f>
        <v/>
      </c>
      <c r="R42" s="8" t="n"/>
      <c r="S42" s="8" t="n"/>
      <c r="T42" s="8" t="n"/>
      <c r="U42" s="22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21">
        <f>IF(COUNT(F43:H43)=0,"",MAX(F43:H43))</f>
        <v/>
      </c>
      <c r="J43" s="8" t="n"/>
      <c r="K43" s="21">
        <f>IF(OR(I43="",J43=""),"",INDEX(Criterios!$B$22:$F$26,6-I43,J43))</f>
        <v/>
      </c>
      <c r="L43" s="8" t="n"/>
      <c r="M43" s="8" t="n"/>
      <c r="N43" s="8" t="n"/>
      <c r="O43" s="8" t="n"/>
      <c r="P43" s="8" t="n"/>
      <c r="Q43" s="21">
        <f>IF(OR(O43="",P43=""),"",INDEX(Criterios!$B$22:$F$26,6-O43,P43))</f>
        <v/>
      </c>
      <c r="R43" s="8" t="n"/>
      <c r="S43" s="8" t="n"/>
      <c r="T43" s="8" t="n"/>
      <c r="U43" s="22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21">
        <f>IF(COUNT(F44:H44)=0,"",MAX(F44:H44))</f>
        <v/>
      </c>
      <c r="J44" s="8" t="n"/>
      <c r="K44" s="21">
        <f>IF(OR(I44="",J44=""),"",INDEX(Criterios!$B$22:$F$26,6-I44,J44))</f>
        <v/>
      </c>
      <c r="L44" s="8" t="n"/>
      <c r="M44" s="8" t="n"/>
      <c r="N44" s="8" t="n"/>
      <c r="O44" s="8" t="n"/>
      <c r="P44" s="8" t="n"/>
      <c r="Q44" s="21">
        <f>IF(OR(O44="",P44=""),"",INDEX(Criterios!$B$22:$F$26,6-O44,P44))</f>
        <v/>
      </c>
      <c r="R44" s="8" t="n"/>
      <c r="S44" s="8" t="n"/>
      <c r="T44" s="8" t="n"/>
      <c r="U44" s="22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21">
        <f>IF(COUNT(F45:H45)=0,"",MAX(F45:H45))</f>
        <v/>
      </c>
      <c r="J45" s="8" t="n"/>
      <c r="K45" s="21">
        <f>IF(OR(I45="",J45=""),"",INDEX(Criterios!$B$22:$F$26,6-I45,J45))</f>
        <v/>
      </c>
      <c r="L45" s="8" t="n"/>
      <c r="M45" s="8" t="n"/>
      <c r="N45" s="8" t="n"/>
      <c r="O45" s="8" t="n"/>
      <c r="P45" s="8" t="n"/>
      <c r="Q45" s="21">
        <f>IF(OR(O45="",P45=""),"",INDEX(Criterios!$B$22:$F$26,6-O45,P45))</f>
        <v/>
      </c>
      <c r="R45" s="8" t="n"/>
      <c r="S45" s="8" t="n"/>
      <c r="T45" s="8" t="n"/>
      <c r="U45" s="22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21">
        <f>IF(COUNT(F46:H46)=0,"",MAX(F46:H46))</f>
        <v/>
      </c>
      <c r="J46" s="8" t="n"/>
      <c r="K46" s="21">
        <f>IF(OR(I46="",J46=""),"",INDEX(Criterios!$B$22:$F$26,6-I46,J46))</f>
        <v/>
      </c>
      <c r="L46" s="8" t="n"/>
      <c r="M46" s="8" t="n"/>
      <c r="N46" s="8" t="n"/>
      <c r="O46" s="8" t="n"/>
      <c r="P46" s="8" t="n"/>
      <c r="Q46" s="21">
        <f>IF(OR(O46="",P46=""),"",INDEX(Criterios!$B$22:$F$26,6-O46,P46))</f>
        <v/>
      </c>
      <c r="R46" s="8" t="n"/>
      <c r="S46" s="8" t="n"/>
      <c r="T46" s="8" t="n"/>
      <c r="U46" s="22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21">
        <f>IF(COUNT(F47:H47)=0,"",MAX(F47:H47))</f>
        <v/>
      </c>
      <c r="J47" s="8" t="n"/>
      <c r="K47" s="21">
        <f>IF(OR(I47="",J47=""),"",INDEX(Criterios!$B$22:$F$26,6-I47,J47))</f>
        <v/>
      </c>
      <c r="L47" s="8" t="n"/>
      <c r="M47" s="8" t="n"/>
      <c r="N47" s="8" t="n"/>
      <c r="O47" s="8" t="n"/>
      <c r="P47" s="8" t="n"/>
      <c r="Q47" s="21">
        <f>IF(OR(O47="",P47=""),"",INDEX(Criterios!$B$22:$F$26,6-O47,P47))</f>
        <v/>
      </c>
      <c r="R47" s="8" t="n"/>
      <c r="S47" s="8" t="n"/>
      <c r="T47" s="8" t="n"/>
      <c r="U47" s="22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21">
        <f>IF(COUNT(F48:H48)=0,"",MAX(F48:H48))</f>
        <v/>
      </c>
      <c r="J48" s="8" t="n"/>
      <c r="K48" s="21">
        <f>IF(OR(I48="",J48=""),"",INDEX(Criterios!$B$22:$F$26,6-I48,J48))</f>
        <v/>
      </c>
      <c r="L48" s="8" t="n"/>
      <c r="M48" s="8" t="n"/>
      <c r="N48" s="8" t="n"/>
      <c r="O48" s="8" t="n"/>
      <c r="P48" s="8" t="n"/>
      <c r="Q48" s="21">
        <f>IF(OR(O48="",P48=""),"",INDEX(Criterios!$B$22:$F$26,6-O48,P48))</f>
        <v/>
      </c>
      <c r="R48" s="8" t="n"/>
      <c r="S48" s="8" t="n"/>
      <c r="T48" s="8" t="n"/>
      <c r="U48" s="22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21">
        <f>IF(COUNT(F49:H49)=0,"",MAX(F49:H49))</f>
        <v/>
      </c>
      <c r="J49" s="8" t="n"/>
      <c r="K49" s="21">
        <f>IF(OR(I49="",J49=""),"",INDEX(Criterios!$B$22:$F$26,6-I49,J49))</f>
        <v/>
      </c>
      <c r="L49" s="8" t="n"/>
      <c r="M49" s="8" t="n"/>
      <c r="N49" s="8" t="n"/>
      <c r="O49" s="8" t="n"/>
      <c r="P49" s="8" t="n"/>
      <c r="Q49" s="21">
        <f>IF(OR(O49="",P49=""),"",INDEX(Criterios!$B$22:$F$26,6-O49,P49))</f>
        <v/>
      </c>
      <c r="R49" s="8" t="n"/>
      <c r="S49" s="8" t="n"/>
      <c r="T49" s="8" t="n"/>
      <c r="U49" s="22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21">
        <f>IF(COUNT(F50:H50)=0,"",MAX(F50:H50))</f>
        <v/>
      </c>
      <c r="J50" s="8" t="n"/>
      <c r="K50" s="21">
        <f>IF(OR(I50="",J50=""),"",INDEX(Criterios!$B$22:$F$26,6-I50,J50))</f>
        <v/>
      </c>
      <c r="L50" s="8" t="n"/>
      <c r="M50" s="8" t="n"/>
      <c r="N50" s="8" t="n"/>
      <c r="O50" s="8" t="n"/>
      <c r="P50" s="8" t="n"/>
      <c r="Q50" s="21">
        <f>IF(OR(O50="",P50=""),"",INDEX(Criterios!$B$22:$F$26,6-O50,P50))</f>
        <v/>
      </c>
      <c r="R50" s="8" t="n"/>
      <c r="S50" s="8" t="n"/>
      <c r="T50" s="8" t="n"/>
      <c r="U50" s="22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21">
        <f>IF(COUNT(F51:H51)=0,"",MAX(F51:H51))</f>
        <v/>
      </c>
      <c r="J51" s="8" t="n"/>
      <c r="K51" s="21">
        <f>IF(OR(I51="",J51=""),"",INDEX(Criterios!$B$22:$F$26,6-I51,J51))</f>
        <v/>
      </c>
      <c r="L51" s="8" t="n"/>
      <c r="M51" s="8" t="n"/>
      <c r="N51" s="8" t="n"/>
      <c r="O51" s="8" t="n"/>
      <c r="P51" s="8" t="n"/>
      <c r="Q51" s="21">
        <f>IF(OR(O51="",P51=""),"",INDEX(Criterios!$B$22:$F$26,6-O51,P51))</f>
        <v/>
      </c>
      <c r="R51" s="8" t="n"/>
      <c r="S51" s="8" t="n"/>
      <c r="T51" s="8" t="n"/>
      <c r="U51" s="22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21">
        <f>IF(COUNT(F52:H52)=0,"",MAX(F52:H52))</f>
        <v/>
      </c>
      <c r="J52" s="8" t="n"/>
      <c r="K52" s="21">
        <f>IF(OR(I52="",J52=""),"",INDEX(Criterios!$B$22:$F$26,6-I52,J52))</f>
        <v/>
      </c>
      <c r="L52" s="8" t="n"/>
      <c r="M52" s="8" t="n"/>
      <c r="N52" s="8" t="n"/>
      <c r="O52" s="8" t="n"/>
      <c r="P52" s="8" t="n"/>
      <c r="Q52" s="21">
        <f>IF(OR(O52="",P52=""),"",INDEX(Criterios!$B$22:$F$26,6-O52,P52))</f>
        <v/>
      </c>
      <c r="R52" s="8" t="n"/>
      <c r="S52" s="8" t="n"/>
      <c r="T52" s="8" t="n"/>
      <c r="U52" s="22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21">
        <f>IF(COUNT(F53:H53)=0,"",MAX(F53:H53))</f>
        <v/>
      </c>
      <c r="J53" s="8" t="n"/>
      <c r="K53" s="21">
        <f>IF(OR(I53="",J53=""),"",INDEX(Criterios!$B$22:$F$26,6-I53,J53))</f>
        <v/>
      </c>
      <c r="L53" s="8" t="n"/>
      <c r="M53" s="8" t="n"/>
      <c r="N53" s="8" t="n"/>
      <c r="O53" s="8" t="n"/>
      <c r="P53" s="8" t="n"/>
      <c r="Q53" s="21">
        <f>IF(OR(O53="",P53=""),"",INDEX(Criterios!$B$22:$F$26,6-O53,P53))</f>
        <v/>
      </c>
      <c r="R53" s="8" t="n"/>
      <c r="S53" s="8" t="n"/>
      <c r="T53" s="8" t="n"/>
      <c r="U53" s="22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21">
        <f>IF(COUNT(F54:H54)=0,"",MAX(F54:H54))</f>
        <v/>
      </c>
      <c r="J54" s="8" t="n"/>
      <c r="K54" s="21">
        <f>IF(OR(I54="",J54=""),"",INDEX(Criterios!$B$22:$F$26,6-I54,J54))</f>
        <v/>
      </c>
      <c r="L54" s="8" t="n"/>
      <c r="M54" s="8" t="n"/>
      <c r="N54" s="8" t="n"/>
      <c r="O54" s="8" t="n"/>
      <c r="P54" s="8" t="n"/>
      <c r="Q54" s="21">
        <f>IF(OR(O54="",P54=""),"",INDEX(Criterios!$B$22:$F$26,6-O54,P54))</f>
        <v/>
      </c>
      <c r="R54" s="8" t="n"/>
      <c r="S54" s="8" t="n"/>
      <c r="T54" s="8" t="n"/>
      <c r="U54" s="22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21">
        <f>IF(COUNT(F55:H55)=0,"",MAX(F55:H55))</f>
        <v/>
      </c>
      <c r="J55" s="8" t="n"/>
      <c r="K55" s="21">
        <f>IF(OR(I55="",J55=""),"",INDEX(Criterios!$B$22:$F$26,6-I55,J55))</f>
        <v/>
      </c>
      <c r="L55" s="8" t="n"/>
      <c r="M55" s="8" t="n"/>
      <c r="N55" s="8" t="n"/>
      <c r="O55" s="8" t="n"/>
      <c r="P55" s="8" t="n"/>
      <c r="Q55" s="21">
        <f>IF(OR(O55="",P55=""),"",INDEX(Criterios!$B$22:$F$26,6-O55,P55))</f>
        <v/>
      </c>
      <c r="R55" s="8" t="n"/>
      <c r="S55" s="8" t="n"/>
      <c r="T55" s="8" t="n"/>
      <c r="U55" s="22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21">
        <f>IF(COUNT(F56:H56)=0,"",MAX(F56:H56))</f>
        <v/>
      </c>
      <c r="J56" s="8" t="n"/>
      <c r="K56" s="21">
        <f>IF(OR(I56="",J56=""),"",INDEX(Criterios!$B$22:$F$26,6-I56,J56))</f>
        <v/>
      </c>
      <c r="L56" s="8" t="n"/>
      <c r="M56" s="8" t="n"/>
      <c r="N56" s="8" t="n"/>
      <c r="O56" s="8" t="n"/>
      <c r="P56" s="8" t="n"/>
      <c r="Q56" s="21">
        <f>IF(OR(O56="",P56=""),"",INDEX(Criterios!$B$22:$F$26,6-O56,P56))</f>
        <v/>
      </c>
      <c r="R56" s="8" t="n"/>
      <c r="S56" s="8" t="n"/>
      <c r="T56" s="8" t="n"/>
      <c r="U56" s="22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21">
        <f>IF(COUNT(F57:H57)=0,"",MAX(F57:H57))</f>
        <v/>
      </c>
      <c r="J57" s="8" t="n"/>
      <c r="K57" s="21">
        <f>IF(OR(I57="",J57=""),"",INDEX(Criterios!$B$22:$F$26,6-I57,J57))</f>
        <v/>
      </c>
      <c r="L57" s="8" t="n"/>
      <c r="M57" s="8" t="n"/>
      <c r="N57" s="8" t="n"/>
      <c r="O57" s="8" t="n"/>
      <c r="P57" s="8" t="n"/>
      <c r="Q57" s="21">
        <f>IF(OR(O57="",P57=""),"",INDEX(Criterios!$B$22:$F$26,6-O57,P57))</f>
        <v/>
      </c>
      <c r="R57" s="8" t="n"/>
      <c r="S57" s="8" t="n"/>
      <c r="T57" s="8" t="n"/>
      <c r="U57" s="22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21">
        <f>IF(COUNT(F58:H58)=0,"",MAX(F58:H58))</f>
        <v/>
      </c>
      <c r="J58" s="8" t="n"/>
      <c r="K58" s="21">
        <f>IF(OR(I58="",J58=""),"",INDEX(Criterios!$B$22:$F$26,6-I58,J58))</f>
        <v/>
      </c>
      <c r="L58" s="8" t="n"/>
      <c r="M58" s="8" t="n"/>
      <c r="N58" s="8" t="n"/>
      <c r="O58" s="8" t="n"/>
      <c r="P58" s="8" t="n"/>
      <c r="Q58" s="21">
        <f>IF(OR(O58="",P58=""),"",INDEX(Criterios!$B$22:$F$26,6-O58,P58))</f>
        <v/>
      </c>
      <c r="R58" s="8" t="n"/>
      <c r="S58" s="8" t="n"/>
      <c r="T58" s="8" t="n"/>
      <c r="U58" s="22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21">
        <f>IF(COUNT(F59:H59)=0,"",MAX(F59:H59))</f>
        <v/>
      </c>
      <c r="J59" s="8" t="n"/>
      <c r="K59" s="21">
        <f>IF(OR(I59="",J59=""),"",INDEX(Criterios!$B$22:$F$26,6-I59,J59))</f>
        <v/>
      </c>
      <c r="L59" s="8" t="n"/>
      <c r="M59" s="8" t="n"/>
      <c r="N59" s="8" t="n"/>
      <c r="O59" s="8" t="n"/>
      <c r="P59" s="8" t="n"/>
      <c r="Q59" s="21">
        <f>IF(OR(O59="",P59=""),"",INDEX(Criterios!$B$22:$F$26,6-O59,P59))</f>
        <v/>
      </c>
      <c r="R59" s="8" t="n"/>
      <c r="S59" s="8" t="n"/>
      <c r="T59" s="8" t="n"/>
      <c r="U59" s="22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21">
        <f>IF(COUNT(F60:H60)=0,"",MAX(F60:H60))</f>
        <v/>
      </c>
      <c r="J60" s="8" t="n"/>
      <c r="K60" s="21">
        <f>IF(OR(I60="",J60=""),"",INDEX(Criterios!$B$22:$F$26,6-I60,J60))</f>
        <v/>
      </c>
      <c r="L60" s="8" t="n"/>
      <c r="M60" s="8" t="n"/>
      <c r="N60" s="8" t="n"/>
      <c r="O60" s="8" t="n"/>
      <c r="P60" s="8" t="n"/>
      <c r="Q60" s="21">
        <f>IF(OR(O60="",P60=""),"",INDEX(Criterios!$B$22:$F$26,6-O60,P60))</f>
        <v/>
      </c>
      <c r="R60" s="8" t="n"/>
      <c r="S60" s="8" t="n"/>
      <c r="T60" s="8" t="n"/>
      <c r="U60" s="22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21">
        <f>IF(COUNT(F61:H61)=0,"",MAX(F61:H61))</f>
        <v/>
      </c>
      <c r="J61" s="8" t="n"/>
      <c r="K61" s="21">
        <f>IF(OR(I61="",J61=""),"",INDEX(Criterios!$B$22:$F$26,6-I61,J61))</f>
        <v/>
      </c>
      <c r="L61" s="8" t="n"/>
      <c r="M61" s="8" t="n"/>
      <c r="N61" s="8" t="n"/>
      <c r="O61" s="8" t="n"/>
      <c r="P61" s="8" t="n"/>
      <c r="Q61" s="21">
        <f>IF(OR(O61="",P61=""),"",INDEX(Criterios!$B$22:$F$26,6-O61,P61))</f>
        <v/>
      </c>
      <c r="R61" s="8" t="n"/>
      <c r="S61" s="8" t="n"/>
      <c r="T61" s="8" t="n"/>
      <c r="U61" s="22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21">
        <f>IF(COUNT(F62:H62)=0,"",MAX(F62:H62))</f>
        <v/>
      </c>
      <c r="J62" s="8" t="n"/>
      <c r="K62" s="21">
        <f>IF(OR(I62="",J62=""),"",INDEX(Criterios!$B$22:$F$26,6-I62,J62))</f>
        <v/>
      </c>
      <c r="L62" s="8" t="n"/>
      <c r="M62" s="8" t="n"/>
      <c r="N62" s="8" t="n"/>
      <c r="O62" s="8" t="n"/>
      <c r="P62" s="8" t="n"/>
      <c r="Q62" s="21">
        <f>IF(OR(O62="",P62=""),"",INDEX(Criterios!$B$22:$F$26,6-O62,P62))</f>
        <v/>
      </c>
      <c r="R62" s="8" t="n"/>
      <c r="S62" s="8" t="n"/>
      <c r="T62" s="8" t="n"/>
      <c r="U62" s="22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21">
        <f>IF(COUNT(F63:H63)=0,"",MAX(F63:H63))</f>
        <v/>
      </c>
      <c r="J63" s="8" t="n"/>
      <c r="K63" s="21">
        <f>IF(OR(I63="",J63=""),"",INDEX(Criterios!$B$22:$F$26,6-I63,J63))</f>
        <v/>
      </c>
      <c r="L63" s="8" t="n"/>
      <c r="M63" s="8" t="n"/>
      <c r="N63" s="8" t="n"/>
      <c r="O63" s="8" t="n"/>
      <c r="P63" s="8" t="n"/>
      <c r="Q63" s="21">
        <f>IF(OR(O63="",P63=""),"",INDEX(Criterios!$B$22:$F$26,6-O63,P63))</f>
        <v/>
      </c>
      <c r="R63" s="8" t="n"/>
      <c r="S63" s="8" t="n"/>
      <c r="T63" s="8" t="n"/>
      <c r="U63" s="22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21">
        <f>IF(COUNT(F64:H64)=0,"",MAX(F64:H64))</f>
        <v/>
      </c>
      <c r="J64" s="8" t="n"/>
      <c r="K64" s="21">
        <f>IF(OR(I64="",J64=""),"",INDEX(Criterios!$B$22:$F$26,6-I64,J64))</f>
        <v/>
      </c>
      <c r="L64" s="8" t="n"/>
      <c r="M64" s="8" t="n"/>
      <c r="N64" s="8" t="n"/>
      <c r="O64" s="8" t="n"/>
      <c r="P64" s="8" t="n"/>
      <c r="Q64" s="21">
        <f>IF(OR(O64="",P64=""),"",INDEX(Criterios!$B$22:$F$26,6-O64,P64))</f>
        <v/>
      </c>
      <c r="R64" s="8" t="n"/>
      <c r="S64" s="8" t="n"/>
      <c r="T64" s="8" t="n"/>
      <c r="U64" s="22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21">
        <f>IF(COUNT(F65:H65)=0,"",MAX(F65:H65))</f>
        <v/>
      </c>
      <c r="J65" s="8" t="n"/>
      <c r="K65" s="21">
        <f>IF(OR(I65="",J65=""),"",INDEX(Criterios!$B$22:$F$26,6-I65,J65))</f>
        <v/>
      </c>
      <c r="L65" s="8" t="n"/>
      <c r="M65" s="8" t="n"/>
      <c r="N65" s="8" t="n"/>
      <c r="O65" s="8" t="n"/>
      <c r="P65" s="8" t="n"/>
      <c r="Q65" s="21">
        <f>IF(OR(O65="",P65=""),"",INDEX(Criterios!$B$22:$F$26,6-O65,P65))</f>
        <v/>
      </c>
      <c r="R65" s="8" t="n"/>
      <c r="S65" s="8" t="n"/>
      <c r="T65" s="8" t="n"/>
      <c r="U65" s="22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21">
        <f>IF(COUNT(F66:H66)=0,"",MAX(F66:H66))</f>
        <v/>
      </c>
      <c r="J66" s="8" t="n"/>
      <c r="K66" s="21">
        <f>IF(OR(I66="",J66=""),"",INDEX(Criterios!$B$22:$F$26,6-I66,J66))</f>
        <v/>
      </c>
      <c r="L66" s="8" t="n"/>
      <c r="M66" s="8" t="n"/>
      <c r="N66" s="8" t="n"/>
      <c r="O66" s="8" t="n"/>
      <c r="P66" s="8" t="n"/>
      <c r="Q66" s="21">
        <f>IF(OR(O66="",P66=""),"",INDEX(Criterios!$B$22:$F$26,6-O66,P66))</f>
        <v/>
      </c>
      <c r="R66" s="8" t="n"/>
      <c r="S66" s="8" t="n"/>
      <c r="T66" s="8" t="n"/>
      <c r="U66" s="22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21">
        <f>IF(COUNT(F67:H67)=0,"",MAX(F67:H67))</f>
        <v/>
      </c>
      <c r="J67" s="8" t="n"/>
      <c r="K67" s="21">
        <f>IF(OR(I67="",J67=""),"",INDEX(Criterios!$B$22:$F$26,6-I67,J67))</f>
        <v/>
      </c>
      <c r="L67" s="8" t="n"/>
      <c r="M67" s="8" t="n"/>
      <c r="N67" s="8" t="n"/>
      <c r="O67" s="8" t="n"/>
      <c r="P67" s="8" t="n"/>
      <c r="Q67" s="21">
        <f>IF(OR(O67="",P67=""),"",INDEX(Criterios!$B$22:$F$26,6-O67,P67))</f>
        <v/>
      </c>
      <c r="R67" s="8" t="n"/>
      <c r="S67" s="8" t="n"/>
      <c r="T67" s="8" t="n"/>
      <c r="U67" s="22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21">
        <f>IF(COUNT(F68:H68)=0,"",MAX(F68:H68))</f>
        <v/>
      </c>
      <c r="J68" s="8" t="n"/>
      <c r="K68" s="21">
        <f>IF(OR(I68="",J68=""),"",INDEX(Criterios!$B$22:$F$26,6-I68,J68))</f>
        <v/>
      </c>
      <c r="L68" s="8" t="n"/>
      <c r="M68" s="8" t="n"/>
      <c r="N68" s="8" t="n"/>
      <c r="O68" s="8" t="n"/>
      <c r="P68" s="8" t="n"/>
      <c r="Q68" s="21">
        <f>IF(OR(O68="",P68=""),"",INDEX(Criterios!$B$22:$F$26,6-O68,P68))</f>
        <v/>
      </c>
      <c r="R68" s="8" t="n"/>
      <c r="S68" s="8" t="n"/>
      <c r="T68" s="8" t="n"/>
      <c r="U68" s="22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21">
        <f>IF(COUNT(F69:H69)=0,"",MAX(F69:H69))</f>
        <v/>
      </c>
      <c r="J69" s="8" t="n"/>
      <c r="K69" s="21">
        <f>IF(OR(I69="",J69=""),"",INDEX(Criterios!$B$22:$F$26,6-I69,J69))</f>
        <v/>
      </c>
      <c r="L69" s="8" t="n"/>
      <c r="M69" s="8" t="n"/>
      <c r="N69" s="8" t="n"/>
      <c r="O69" s="8" t="n"/>
      <c r="P69" s="8" t="n"/>
      <c r="Q69" s="21">
        <f>IF(OR(O69="",P69=""),"",INDEX(Criterios!$B$22:$F$26,6-O69,P69))</f>
        <v/>
      </c>
      <c r="R69" s="8" t="n"/>
      <c r="S69" s="8" t="n"/>
      <c r="T69" s="8" t="n"/>
      <c r="U69" s="22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21">
        <f>IF(COUNT(F70:H70)=0,"",MAX(F70:H70))</f>
        <v/>
      </c>
      <c r="J70" s="8" t="n"/>
      <c r="K70" s="21">
        <f>IF(OR(I70="",J70=""),"",INDEX(Criterios!$B$22:$F$26,6-I70,J70))</f>
        <v/>
      </c>
      <c r="L70" s="8" t="n"/>
      <c r="M70" s="8" t="n"/>
      <c r="N70" s="8" t="n"/>
      <c r="O70" s="8" t="n"/>
      <c r="P70" s="8" t="n"/>
      <c r="Q70" s="21">
        <f>IF(OR(O70="",P70=""),"",INDEX(Criterios!$B$22:$F$26,6-O70,P70))</f>
        <v/>
      </c>
      <c r="R70" s="8" t="n"/>
      <c r="S70" s="8" t="n"/>
      <c r="T70" s="8" t="n"/>
      <c r="U70" s="22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21">
        <f>IF(COUNT(F71:H71)=0,"",MAX(F71:H71))</f>
        <v/>
      </c>
      <c r="J71" s="8" t="n"/>
      <c r="K71" s="21">
        <f>IF(OR(I71="",J71=""),"",INDEX(Criterios!$B$22:$F$26,6-I71,J71))</f>
        <v/>
      </c>
      <c r="L71" s="8" t="n"/>
      <c r="M71" s="8" t="n"/>
      <c r="N71" s="8" t="n"/>
      <c r="O71" s="8" t="n"/>
      <c r="P71" s="8" t="n"/>
      <c r="Q71" s="21">
        <f>IF(OR(O71="",P71=""),"",INDEX(Criterios!$B$22:$F$26,6-O71,P71))</f>
        <v/>
      </c>
      <c r="R71" s="8" t="n"/>
      <c r="S71" s="8" t="n"/>
      <c r="T71" s="8" t="n"/>
      <c r="U71" s="22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21">
        <f>IF(COUNT(F72:H72)=0,"",MAX(F72:H72))</f>
        <v/>
      </c>
      <c r="J72" s="8" t="n"/>
      <c r="K72" s="21">
        <f>IF(OR(I72="",J72=""),"",INDEX(Criterios!$B$22:$F$26,6-I72,J72))</f>
        <v/>
      </c>
      <c r="L72" s="8" t="n"/>
      <c r="M72" s="8" t="n"/>
      <c r="N72" s="8" t="n"/>
      <c r="O72" s="8" t="n"/>
      <c r="P72" s="8" t="n"/>
      <c r="Q72" s="21">
        <f>IF(OR(O72="",P72=""),"",INDEX(Criterios!$B$22:$F$26,6-O72,P72))</f>
        <v/>
      </c>
      <c r="R72" s="8" t="n"/>
      <c r="S72" s="8" t="n"/>
      <c r="T72" s="8" t="n"/>
      <c r="U72" s="22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21">
        <f>IF(COUNT(F73:H73)=0,"",MAX(F73:H73))</f>
        <v/>
      </c>
      <c r="J73" s="8" t="n"/>
      <c r="K73" s="21">
        <f>IF(OR(I73="",J73=""),"",INDEX(Criterios!$B$22:$F$26,6-I73,J73))</f>
        <v/>
      </c>
      <c r="L73" s="8" t="n"/>
      <c r="M73" s="8" t="n"/>
      <c r="N73" s="8" t="n"/>
      <c r="O73" s="8" t="n"/>
      <c r="P73" s="8" t="n"/>
      <c r="Q73" s="21">
        <f>IF(OR(O73="",P73=""),"",INDEX(Criterios!$B$22:$F$26,6-O73,P73))</f>
        <v/>
      </c>
      <c r="R73" s="8" t="n"/>
      <c r="S73" s="8" t="n"/>
      <c r="T73" s="8" t="n"/>
      <c r="U73" s="22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21">
        <f>IF(COUNT(F74:H74)=0,"",MAX(F74:H74))</f>
        <v/>
      </c>
      <c r="J74" s="8" t="n"/>
      <c r="K74" s="21">
        <f>IF(OR(I74="",J74=""),"",INDEX(Criterios!$B$22:$F$26,6-I74,J74))</f>
        <v/>
      </c>
      <c r="L74" s="8" t="n"/>
      <c r="M74" s="8" t="n"/>
      <c r="N74" s="8" t="n"/>
      <c r="O74" s="8" t="n"/>
      <c r="P74" s="8" t="n"/>
      <c r="Q74" s="21">
        <f>IF(OR(O74="",P74=""),"",INDEX(Criterios!$B$22:$F$26,6-O74,P74))</f>
        <v/>
      </c>
      <c r="R74" s="8" t="n"/>
      <c r="S74" s="8" t="n"/>
      <c r="T74" s="8" t="n"/>
      <c r="U74" s="22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21">
        <f>IF(COUNT(F75:H75)=0,"",MAX(F75:H75))</f>
        <v/>
      </c>
      <c r="J75" s="8" t="n"/>
      <c r="K75" s="21">
        <f>IF(OR(I75="",J75=""),"",INDEX(Criterios!$B$22:$F$26,6-I75,J75))</f>
        <v/>
      </c>
      <c r="L75" s="8" t="n"/>
      <c r="M75" s="8" t="n"/>
      <c r="N75" s="8" t="n"/>
      <c r="O75" s="8" t="n"/>
      <c r="P75" s="8" t="n"/>
      <c r="Q75" s="21">
        <f>IF(OR(O75="",P75=""),"",INDEX(Criterios!$B$22:$F$26,6-O75,P75))</f>
        <v/>
      </c>
      <c r="R75" s="8" t="n"/>
      <c r="S75" s="8" t="n"/>
      <c r="T75" s="8" t="n"/>
      <c r="U75" s="22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21">
        <f>IF(COUNT(F76:H76)=0,"",MAX(F76:H76))</f>
        <v/>
      </c>
      <c r="J76" s="8" t="n"/>
      <c r="K76" s="21">
        <f>IF(OR(I76="",J76=""),"",INDEX(Criterios!$B$22:$F$26,6-I76,J76))</f>
        <v/>
      </c>
      <c r="L76" s="8" t="n"/>
      <c r="M76" s="8" t="n"/>
      <c r="N76" s="8" t="n"/>
      <c r="O76" s="8" t="n"/>
      <c r="P76" s="8" t="n"/>
      <c r="Q76" s="21">
        <f>IF(OR(O76="",P76=""),"",INDEX(Criterios!$B$22:$F$26,6-O76,P76))</f>
        <v/>
      </c>
      <c r="R76" s="8" t="n"/>
      <c r="S76" s="8" t="n"/>
      <c r="T76" s="8" t="n"/>
      <c r="U76" s="22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21">
        <f>IF(COUNT(F77:H77)=0,"",MAX(F77:H77))</f>
        <v/>
      </c>
      <c r="J77" s="8" t="n"/>
      <c r="K77" s="21">
        <f>IF(OR(I77="",J77=""),"",INDEX(Criterios!$B$22:$F$26,6-I77,J77))</f>
        <v/>
      </c>
      <c r="L77" s="8" t="n"/>
      <c r="M77" s="8" t="n"/>
      <c r="N77" s="8" t="n"/>
      <c r="O77" s="8" t="n"/>
      <c r="P77" s="8" t="n"/>
      <c r="Q77" s="21">
        <f>IF(OR(O77="",P77=""),"",INDEX(Criterios!$B$22:$F$26,6-O77,P77))</f>
        <v/>
      </c>
      <c r="R77" s="8" t="n"/>
      <c r="S77" s="8" t="n"/>
      <c r="T77" s="8" t="n"/>
      <c r="U77" s="22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21">
        <f>IF(COUNT(F78:H78)=0,"",MAX(F78:H78))</f>
        <v/>
      </c>
      <c r="J78" s="8" t="n"/>
      <c r="K78" s="21">
        <f>IF(OR(I78="",J78=""),"",INDEX(Criterios!$B$22:$F$26,6-I78,J78))</f>
        <v/>
      </c>
      <c r="L78" s="8" t="n"/>
      <c r="M78" s="8" t="n"/>
      <c r="N78" s="8" t="n"/>
      <c r="O78" s="8" t="n"/>
      <c r="P78" s="8" t="n"/>
      <c r="Q78" s="21">
        <f>IF(OR(O78="",P78=""),"",INDEX(Criterios!$B$22:$F$26,6-O78,P78))</f>
        <v/>
      </c>
      <c r="R78" s="8" t="n"/>
      <c r="S78" s="8" t="n"/>
      <c r="T78" s="8" t="n"/>
      <c r="U78" s="22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21">
        <f>IF(COUNT(F79:H79)=0,"",MAX(F79:H79))</f>
        <v/>
      </c>
      <c r="J79" s="8" t="n"/>
      <c r="K79" s="21">
        <f>IF(OR(I79="",J79=""),"",INDEX(Criterios!$B$22:$F$26,6-I79,J79))</f>
        <v/>
      </c>
      <c r="L79" s="8" t="n"/>
      <c r="M79" s="8" t="n"/>
      <c r="N79" s="8" t="n"/>
      <c r="O79" s="8" t="n"/>
      <c r="P79" s="8" t="n"/>
      <c r="Q79" s="21">
        <f>IF(OR(O79="",P79=""),"",INDEX(Criterios!$B$22:$F$26,6-O79,P79))</f>
        <v/>
      </c>
      <c r="R79" s="8" t="n"/>
      <c r="S79" s="8" t="n"/>
      <c r="T79" s="8" t="n"/>
      <c r="U79" s="22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21">
        <f>IF(COUNT(F80:H80)=0,"",MAX(F80:H80))</f>
        <v/>
      </c>
      <c r="J80" s="8" t="n"/>
      <c r="K80" s="21">
        <f>IF(OR(I80="",J80=""),"",INDEX(Criterios!$B$22:$F$26,6-I80,J80))</f>
        <v/>
      </c>
      <c r="L80" s="8" t="n"/>
      <c r="M80" s="8" t="n"/>
      <c r="N80" s="8" t="n"/>
      <c r="O80" s="8" t="n"/>
      <c r="P80" s="8" t="n"/>
      <c r="Q80" s="21">
        <f>IF(OR(O80="",P80=""),"",INDEX(Criterios!$B$22:$F$26,6-O80,P80))</f>
        <v/>
      </c>
      <c r="R80" s="8" t="n"/>
      <c r="S80" s="8" t="n"/>
      <c r="T80" s="8" t="n"/>
      <c r="U80" s="22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21">
        <f>IF(COUNT(F81:H81)=0,"",MAX(F81:H81))</f>
        <v/>
      </c>
      <c r="J81" s="8" t="n"/>
      <c r="K81" s="21">
        <f>IF(OR(I81="",J81=""),"",INDEX(Criterios!$B$22:$F$26,6-I81,J81))</f>
        <v/>
      </c>
      <c r="L81" s="8" t="n"/>
      <c r="M81" s="8" t="n"/>
      <c r="N81" s="8" t="n"/>
      <c r="O81" s="8" t="n"/>
      <c r="P81" s="8" t="n"/>
      <c r="Q81" s="21">
        <f>IF(OR(O81="",P81=""),"",INDEX(Criterios!$B$22:$F$26,6-O81,P81))</f>
        <v/>
      </c>
      <c r="R81" s="8" t="n"/>
      <c r="S81" s="8" t="n"/>
      <c r="T81" s="8" t="n"/>
      <c r="U81" s="22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21">
        <f>IF(COUNT(F82:H82)=0,"",MAX(F82:H82))</f>
        <v/>
      </c>
      <c r="J82" s="8" t="n"/>
      <c r="K82" s="21">
        <f>IF(OR(I82="",J82=""),"",INDEX(Criterios!$B$22:$F$26,6-I82,J82))</f>
        <v/>
      </c>
      <c r="L82" s="8" t="n"/>
      <c r="M82" s="8" t="n"/>
      <c r="N82" s="8" t="n"/>
      <c r="O82" s="8" t="n"/>
      <c r="P82" s="8" t="n"/>
      <c r="Q82" s="21">
        <f>IF(OR(O82="",P82=""),"",INDEX(Criterios!$B$22:$F$26,6-O82,P82))</f>
        <v/>
      </c>
      <c r="R82" s="8" t="n"/>
      <c r="S82" s="8" t="n"/>
      <c r="T82" s="8" t="n"/>
      <c r="U82" s="22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21">
        <f>IF(COUNT(F83:H83)=0,"",MAX(F83:H83))</f>
        <v/>
      </c>
      <c r="J83" s="8" t="n"/>
      <c r="K83" s="21">
        <f>IF(OR(I83="",J83=""),"",INDEX(Criterios!$B$22:$F$26,6-I83,J83))</f>
        <v/>
      </c>
      <c r="L83" s="8" t="n"/>
      <c r="M83" s="8" t="n"/>
      <c r="N83" s="8" t="n"/>
      <c r="O83" s="8" t="n"/>
      <c r="P83" s="8" t="n"/>
      <c r="Q83" s="21">
        <f>IF(OR(O83="",P83=""),"",INDEX(Criterios!$B$22:$F$26,6-O83,P83))</f>
        <v/>
      </c>
      <c r="R83" s="8" t="n"/>
      <c r="S83" s="8" t="n"/>
      <c r="T83" s="8" t="n"/>
      <c r="U83" s="22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21">
        <f>IF(COUNT(F84:H84)=0,"",MAX(F84:H84))</f>
        <v/>
      </c>
      <c r="J84" s="8" t="n"/>
      <c r="K84" s="21">
        <f>IF(OR(I84="",J84=""),"",INDEX(Criterios!$B$22:$F$26,6-I84,J84))</f>
        <v/>
      </c>
      <c r="L84" s="8" t="n"/>
      <c r="M84" s="8" t="n"/>
      <c r="N84" s="8" t="n"/>
      <c r="O84" s="8" t="n"/>
      <c r="P84" s="8" t="n"/>
      <c r="Q84" s="21">
        <f>IF(OR(O84="",P84=""),"",INDEX(Criterios!$B$22:$F$26,6-O84,P84))</f>
        <v/>
      </c>
      <c r="R84" s="8" t="n"/>
      <c r="S84" s="8" t="n"/>
      <c r="T84" s="8" t="n"/>
      <c r="U84" s="22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21">
        <f>IF(COUNT(F85:H85)=0,"",MAX(F85:H85))</f>
        <v/>
      </c>
      <c r="J85" s="8" t="n"/>
      <c r="K85" s="21">
        <f>IF(OR(I85="",J85=""),"",INDEX(Criterios!$B$22:$F$26,6-I85,J85))</f>
        <v/>
      </c>
      <c r="L85" s="8" t="n"/>
      <c r="M85" s="8" t="n"/>
      <c r="N85" s="8" t="n"/>
      <c r="O85" s="8" t="n"/>
      <c r="P85" s="8" t="n"/>
      <c r="Q85" s="21">
        <f>IF(OR(O85="",P85=""),"",INDEX(Criterios!$B$22:$F$26,6-O85,P85))</f>
        <v/>
      </c>
      <c r="R85" s="8" t="n"/>
      <c r="S85" s="8" t="n"/>
      <c r="T85" s="8" t="n"/>
      <c r="U85" s="22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21">
        <f>IF(COUNT(F86:H86)=0,"",MAX(F86:H86))</f>
        <v/>
      </c>
      <c r="J86" s="8" t="n"/>
      <c r="K86" s="21">
        <f>IF(OR(I86="",J86=""),"",INDEX(Criterios!$B$22:$F$26,6-I86,J86))</f>
        <v/>
      </c>
      <c r="L86" s="8" t="n"/>
      <c r="M86" s="8" t="n"/>
      <c r="N86" s="8" t="n"/>
      <c r="O86" s="8" t="n"/>
      <c r="P86" s="8" t="n"/>
      <c r="Q86" s="21">
        <f>IF(OR(O86="",P86=""),"",INDEX(Criterios!$B$22:$F$26,6-O86,P86))</f>
        <v/>
      </c>
      <c r="R86" s="8" t="n"/>
      <c r="S86" s="8" t="n"/>
      <c r="T86" s="8" t="n"/>
      <c r="U86" s="22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21">
        <f>IF(COUNT(F87:H87)=0,"",MAX(F87:H87))</f>
        <v/>
      </c>
      <c r="J87" s="8" t="n"/>
      <c r="K87" s="21">
        <f>IF(OR(I87="",J87=""),"",INDEX(Criterios!$B$22:$F$26,6-I87,J87))</f>
        <v/>
      </c>
      <c r="L87" s="8" t="n"/>
      <c r="M87" s="8" t="n"/>
      <c r="N87" s="8" t="n"/>
      <c r="O87" s="8" t="n"/>
      <c r="P87" s="8" t="n"/>
      <c r="Q87" s="21">
        <f>IF(OR(O87="",P87=""),"",INDEX(Criterios!$B$22:$F$26,6-O87,P87))</f>
        <v/>
      </c>
      <c r="R87" s="8" t="n"/>
      <c r="S87" s="8" t="n"/>
      <c r="T87" s="8" t="n"/>
      <c r="U87" s="22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21">
        <f>IF(COUNT(F88:H88)=0,"",MAX(F88:H88))</f>
        <v/>
      </c>
      <c r="J88" s="8" t="n"/>
      <c r="K88" s="21">
        <f>IF(OR(I88="",J88=""),"",INDEX(Criterios!$B$22:$F$26,6-I88,J88))</f>
        <v/>
      </c>
      <c r="L88" s="8" t="n"/>
      <c r="M88" s="8" t="n"/>
      <c r="N88" s="8" t="n"/>
      <c r="O88" s="8" t="n"/>
      <c r="P88" s="8" t="n"/>
      <c r="Q88" s="21">
        <f>IF(OR(O88="",P88=""),"",INDEX(Criterios!$B$22:$F$26,6-O88,P88))</f>
        <v/>
      </c>
      <c r="R88" s="8" t="n"/>
      <c r="S88" s="8" t="n"/>
      <c r="T88" s="8" t="n"/>
      <c r="U88" s="22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21">
        <f>IF(COUNT(F89:H89)=0,"",MAX(F89:H89))</f>
        <v/>
      </c>
      <c r="J89" s="8" t="n"/>
      <c r="K89" s="21">
        <f>IF(OR(I89="",J89=""),"",INDEX(Criterios!$B$22:$F$26,6-I89,J89))</f>
        <v/>
      </c>
      <c r="L89" s="8" t="n"/>
      <c r="M89" s="8" t="n"/>
      <c r="N89" s="8" t="n"/>
      <c r="O89" s="8" t="n"/>
      <c r="P89" s="8" t="n"/>
      <c r="Q89" s="21">
        <f>IF(OR(O89="",P89=""),"",INDEX(Criterios!$B$22:$F$26,6-O89,P89))</f>
        <v/>
      </c>
      <c r="R89" s="8" t="n"/>
      <c r="S89" s="8" t="n"/>
      <c r="T89" s="8" t="n"/>
      <c r="U89" s="22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21">
        <f>IF(COUNT(F90:H90)=0,"",MAX(F90:H90))</f>
        <v/>
      </c>
      <c r="J90" s="8" t="n"/>
      <c r="K90" s="21">
        <f>IF(OR(I90="",J90=""),"",INDEX(Criterios!$B$22:$F$26,6-I90,J90))</f>
        <v/>
      </c>
      <c r="L90" s="8" t="n"/>
      <c r="M90" s="8" t="n"/>
      <c r="N90" s="8" t="n"/>
      <c r="O90" s="8" t="n"/>
      <c r="P90" s="8" t="n"/>
      <c r="Q90" s="21">
        <f>IF(OR(O90="",P90=""),"",INDEX(Criterios!$B$22:$F$26,6-O90,P90))</f>
        <v/>
      </c>
      <c r="R90" s="8" t="n"/>
      <c r="S90" s="8" t="n"/>
      <c r="T90" s="8" t="n"/>
      <c r="U90" s="22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21">
        <f>IF(COUNT(F91:H91)=0,"",MAX(F91:H91))</f>
        <v/>
      </c>
      <c r="J91" s="8" t="n"/>
      <c r="K91" s="21">
        <f>IF(OR(I91="",J91=""),"",INDEX(Criterios!$B$22:$F$26,6-I91,J91))</f>
        <v/>
      </c>
      <c r="L91" s="8" t="n"/>
      <c r="M91" s="8" t="n"/>
      <c r="N91" s="8" t="n"/>
      <c r="O91" s="8" t="n"/>
      <c r="P91" s="8" t="n"/>
      <c r="Q91" s="21">
        <f>IF(OR(O91="",P91=""),"",INDEX(Criterios!$B$22:$F$26,6-O91,P91))</f>
        <v/>
      </c>
      <c r="R91" s="8" t="n"/>
      <c r="S91" s="8" t="n"/>
      <c r="T91" s="8" t="n"/>
      <c r="U91" s="22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21">
        <f>IF(COUNT(F92:H92)=0,"",MAX(F92:H92))</f>
        <v/>
      </c>
      <c r="J92" s="8" t="n"/>
      <c r="K92" s="21">
        <f>IF(OR(I92="",J92=""),"",INDEX(Criterios!$B$22:$F$26,6-I92,J92))</f>
        <v/>
      </c>
      <c r="L92" s="8" t="n"/>
      <c r="M92" s="8" t="n"/>
      <c r="N92" s="8" t="n"/>
      <c r="O92" s="8" t="n"/>
      <c r="P92" s="8" t="n"/>
      <c r="Q92" s="21">
        <f>IF(OR(O92="",P92=""),"",INDEX(Criterios!$B$22:$F$26,6-O92,P92))</f>
        <v/>
      </c>
      <c r="R92" s="8" t="n"/>
      <c r="S92" s="8" t="n"/>
      <c r="T92" s="8" t="n"/>
      <c r="U92" s="22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21">
        <f>IF(COUNT(F93:H93)=0,"",MAX(F93:H93))</f>
        <v/>
      </c>
      <c r="J93" s="8" t="n"/>
      <c r="K93" s="21">
        <f>IF(OR(I93="",J93=""),"",INDEX(Criterios!$B$22:$F$26,6-I93,J93))</f>
        <v/>
      </c>
      <c r="L93" s="8" t="n"/>
      <c r="M93" s="8" t="n"/>
      <c r="N93" s="8" t="n"/>
      <c r="O93" s="8" t="n"/>
      <c r="P93" s="8" t="n"/>
      <c r="Q93" s="21">
        <f>IF(OR(O93="",P93=""),"",INDEX(Criterios!$B$22:$F$26,6-O93,P93))</f>
        <v/>
      </c>
      <c r="R93" s="8" t="n"/>
      <c r="S93" s="8" t="n"/>
      <c r="T93" s="8" t="n"/>
      <c r="U93" s="22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21">
        <f>IF(COUNT(F94:H94)=0,"",MAX(F94:H94))</f>
        <v/>
      </c>
      <c r="J94" s="8" t="n"/>
      <c r="K94" s="21">
        <f>IF(OR(I94="",J94=""),"",INDEX(Criterios!$B$22:$F$26,6-I94,J94))</f>
        <v/>
      </c>
      <c r="L94" s="8" t="n"/>
      <c r="M94" s="8" t="n"/>
      <c r="N94" s="8" t="n"/>
      <c r="O94" s="8" t="n"/>
      <c r="P94" s="8" t="n"/>
      <c r="Q94" s="21">
        <f>IF(OR(O94="",P94=""),"",INDEX(Criterios!$B$22:$F$26,6-O94,P94))</f>
        <v/>
      </c>
      <c r="R94" s="8" t="n"/>
      <c r="S94" s="8" t="n"/>
      <c r="T94" s="8" t="n"/>
      <c r="U94" s="22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21">
        <f>IF(COUNT(F95:H95)=0,"",MAX(F95:H95))</f>
        <v/>
      </c>
      <c r="J95" s="8" t="n"/>
      <c r="K95" s="21">
        <f>IF(OR(I95="",J95=""),"",INDEX(Criterios!$B$22:$F$26,6-I95,J95))</f>
        <v/>
      </c>
      <c r="L95" s="8" t="n"/>
      <c r="M95" s="8" t="n"/>
      <c r="N95" s="8" t="n"/>
      <c r="O95" s="8" t="n"/>
      <c r="P95" s="8" t="n"/>
      <c r="Q95" s="21">
        <f>IF(OR(O95="",P95=""),"",INDEX(Criterios!$B$22:$F$26,6-O95,P95))</f>
        <v/>
      </c>
      <c r="R95" s="8" t="n"/>
      <c r="S95" s="8" t="n"/>
      <c r="T95" s="8" t="n"/>
      <c r="U95" s="22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21">
        <f>IF(COUNT(F96:H96)=0,"",MAX(F96:H96))</f>
        <v/>
      </c>
      <c r="J96" s="8" t="n"/>
      <c r="K96" s="21">
        <f>IF(OR(I96="",J96=""),"",INDEX(Criterios!$B$22:$F$26,6-I96,J96))</f>
        <v/>
      </c>
      <c r="L96" s="8" t="n"/>
      <c r="M96" s="8" t="n"/>
      <c r="N96" s="8" t="n"/>
      <c r="O96" s="8" t="n"/>
      <c r="P96" s="8" t="n"/>
      <c r="Q96" s="21">
        <f>IF(OR(O96="",P96=""),"",INDEX(Criterios!$B$22:$F$26,6-O96,P96))</f>
        <v/>
      </c>
      <c r="R96" s="8" t="n"/>
      <c r="S96" s="8" t="n"/>
      <c r="T96" s="8" t="n"/>
      <c r="U96" s="22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21">
        <f>IF(COUNT(F97:H97)=0,"",MAX(F97:H97))</f>
        <v/>
      </c>
      <c r="J97" s="8" t="n"/>
      <c r="K97" s="21">
        <f>IF(OR(I97="",J97=""),"",INDEX(Criterios!$B$22:$F$26,6-I97,J97))</f>
        <v/>
      </c>
      <c r="L97" s="8" t="n"/>
      <c r="M97" s="8" t="n"/>
      <c r="N97" s="8" t="n"/>
      <c r="O97" s="8" t="n"/>
      <c r="P97" s="8" t="n"/>
      <c r="Q97" s="21">
        <f>IF(OR(O97="",P97=""),"",INDEX(Criterios!$B$22:$F$26,6-O97,P97))</f>
        <v/>
      </c>
      <c r="R97" s="8" t="n"/>
      <c r="S97" s="8" t="n"/>
      <c r="T97" s="8" t="n"/>
      <c r="U97" s="22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21">
        <f>IF(COUNT(F98:H98)=0,"",MAX(F98:H98))</f>
        <v/>
      </c>
      <c r="J98" s="8" t="n"/>
      <c r="K98" s="21">
        <f>IF(OR(I98="",J98=""),"",INDEX(Criterios!$B$22:$F$26,6-I98,J98))</f>
        <v/>
      </c>
      <c r="L98" s="8" t="n"/>
      <c r="M98" s="8" t="n"/>
      <c r="N98" s="8" t="n"/>
      <c r="O98" s="8" t="n"/>
      <c r="P98" s="8" t="n"/>
      <c r="Q98" s="21">
        <f>IF(OR(O98="",P98=""),"",INDEX(Criterios!$B$22:$F$26,6-O98,P98))</f>
        <v/>
      </c>
      <c r="R98" s="8" t="n"/>
      <c r="S98" s="8" t="n"/>
      <c r="T98" s="8" t="n"/>
      <c r="U98" s="22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21">
        <f>IF(COUNT(F99:H99)=0,"",MAX(F99:H99))</f>
        <v/>
      </c>
      <c r="J99" s="8" t="n"/>
      <c r="K99" s="21">
        <f>IF(OR(I99="",J99=""),"",INDEX(Criterios!$B$22:$F$26,6-I99,J99))</f>
        <v/>
      </c>
      <c r="L99" s="8" t="n"/>
      <c r="M99" s="8" t="n"/>
      <c r="N99" s="8" t="n"/>
      <c r="O99" s="8" t="n"/>
      <c r="P99" s="8" t="n"/>
      <c r="Q99" s="21">
        <f>IF(OR(O99="",P99=""),"",INDEX(Criterios!$B$22:$F$26,6-O99,P99))</f>
        <v/>
      </c>
      <c r="R99" s="8" t="n"/>
      <c r="S99" s="8" t="n"/>
      <c r="T99" s="8" t="n"/>
      <c r="U99" s="22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21">
        <f>IF(COUNT(F100:H100)=0,"",MAX(F100:H100))</f>
        <v/>
      </c>
      <c r="J100" s="8" t="n"/>
      <c r="K100" s="21">
        <f>IF(OR(I100="",J100=""),"",INDEX(Criterios!$B$22:$F$26,6-I100,J100))</f>
        <v/>
      </c>
      <c r="L100" s="8" t="n"/>
      <c r="M100" s="8" t="n"/>
      <c r="N100" s="8" t="n"/>
      <c r="O100" s="8" t="n"/>
      <c r="P100" s="8" t="n"/>
      <c r="Q100" s="21">
        <f>IF(OR(O100="",P100=""),"",INDEX(Criterios!$B$22:$F$26,6-O100,P100))</f>
        <v/>
      </c>
      <c r="R100" s="8" t="n"/>
      <c r="S100" s="8" t="n"/>
      <c r="T100" s="8" t="n"/>
      <c r="U100" s="22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21">
        <f>IF(COUNT(F101:H101)=0,"",MAX(F101:H101))</f>
        <v/>
      </c>
      <c r="J101" s="8" t="n"/>
      <c r="K101" s="21">
        <f>IF(OR(I101="",J101=""),"",INDEX(Criterios!$B$22:$F$26,6-I101,J101))</f>
        <v/>
      </c>
      <c r="L101" s="8" t="n"/>
      <c r="M101" s="8" t="n"/>
      <c r="N101" s="8" t="n"/>
      <c r="O101" s="8" t="n"/>
      <c r="P101" s="8" t="n"/>
      <c r="Q101" s="21">
        <f>IF(OR(O101="",P101=""),"",INDEX(Criterios!$B$22:$F$26,6-O101,P101))</f>
        <v/>
      </c>
      <c r="R101" s="8" t="n"/>
      <c r="S101" s="8" t="n"/>
      <c r="T101" s="8" t="n"/>
      <c r="U101" s="22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21">
        <f>IF(COUNT(F102:H102)=0,"",MAX(F102:H102))</f>
        <v/>
      </c>
      <c r="J102" s="8" t="n"/>
      <c r="K102" s="21">
        <f>IF(OR(I102="",J102=""),"",INDEX(Criterios!$B$22:$F$26,6-I102,J102))</f>
        <v/>
      </c>
      <c r="L102" s="8" t="n"/>
      <c r="M102" s="8" t="n"/>
      <c r="N102" s="8" t="n"/>
      <c r="O102" s="8" t="n"/>
      <c r="P102" s="8" t="n"/>
      <c r="Q102" s="21">
        <f>IF(OR(O102="",P102=""),"",INDEX(Criterios!$B$22:$F$26,6-O102,P102))</f>
        <v/>
      </c>
      <c r="R102" s="8" t="n"/>
      <c r="S102" s="8" t="n"/>
      <c r="T102" s="8" t="n"/>
      <c r="U102" s="22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21">
        <f>IF(COUNT(F103:H103)=0,"",MAX(F103:H103))</f>
        <v/>
      </c>
      <c r="J103" s="8" t="n"/>
      <c r="K103" s="21">
        <f>IF(OR(I103="",J103=""),"",INDEX(Criterios!$B$22:$F$26,6-I103,J103))</f>
        <v/>
      </c>
      <c r="L103" s="8" t="n"/>
      <c r="M103" s="8" t="n"/>
      <c r="N103" s="8" t="n"/>
      <c r="O103" s="8" t="n"/>
      <c r="P103" s="8" t="n"/>
      <c r="Q103" s="21">
        <f>IF(OR(O103="",P103=""),"",INDEX(Criterios!$B$22:$F$26,6-O103,P103))</f>
        <v/>
      </c>
      <c r="R103" s="8" t="n"/>
      <c r="S103" s="8" t="n"/>
      <c r="T103" s="8" t="n"/>
      <c r="U103" s="22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21">
        <f>IF(COUNT(F104:H104)=0,"",MAX(F104:H104))</f>
        <v/>
      </c>
      <c r="J104" s="8" t="n"/>
      <c r="K104" s="21">
        <f>IF(OR(I104="",J104=""),"",INDEX(Criterios!$B$22:$F$26,6-I104,J104))</f>
        <v/>
      </c>
      <c r="L104" s="8" t="n"/>
      <c r="M104" s="8" t="n"/>
      <c r="N104" s="8" t="n"/>
      <c r="O104" s="8" t="n"/>
      <c r="P104" s="8" t="n"/>
      <c r="Q104" s="21">
        <f>IF(OR(O104="",P104=""),"",INDEX(Criterios!$B$22:$F$26,6-O104,P104))</f>
        <v/>
      </c>
      <c r="R104" s="8" t="n"/>
      <c r="S104" s="8" t="n"/>
      <c r="T104" s="8" t="n"/>
      <c r="U104" s="22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21">
        <f>IF(COUNT(F105:H105)=0,"",MAX(F105:H105))</f>
        <v/>
      </c>
      <c r="J105" s="8" t="n"/>
      <c r="K105" s="21">
        <f>IF(OR(I105="",J105=""),"",INDEX(Criterios!$B$22:$F$26,6-I105,J105))</f>
        <v/>
      </c>
      <c r="L105" s="8" t="n"/>
      <c r="M105" s="8" t="n"/>
      <c r="N105" s="8" t="n"/>
      <c r="O105" s="8" t="n"/>
      <c r="P105" s="8" t="n"/>
      <c r="Q105" s="21">
        <f>IF(OR(O105="",P105=""),"",INDEX(Criterios!$B$22:$F$26,6-O105,P105))</f>
        <v/>
      </c>
      <c r="R105" s="8" t="n"/>
      <c r="S105" s="8" t="n"/>
      <c r="T105" s="8" t="n"/>
      <c r="U105" s="22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21">
        <f>IF(COUNT(F106:H106)=0,"",MAX(F106:H106))</f>
        <v/>
      </c>
      <c r="J106" s="8" t="n"/>
      <c r="K106" s="21">
        <f>IF(OR(I106="",J106=""),"",INDEX(Criterios!$B$22:$F$26,6-I106,J106))</f>
        <v/>
      </c>
      <c r="L106" s="8" t="n"/>
      <c r="M106" s="8" t="n"/>
      <c r="N106" s="8" t="n"/>
      <c r="O106" s="8" t="n"/>
      <c r="P106" s="8" t="n"/>
      <c r="Q106" s="21">
        <f>IF(OR(O106="",P106=""),"",INDEX(Criterios!$B$22:$F$26,6-O106,P106))</f>
        <v/>
      </c>
      <c r="R106" s="8" t="n"/>
      <c r="S106" s="8" t="n"/>
      <c r="T106" s="8" t="n"/>
      <c r="U106" s="22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21">
        <f>IF(COUNT(F107:H107)=0,"",MAX(F107:H107))</f>
        <v/>
      </c>
      <c r="J107" s="8" t="n"/>
      <c r="K107" s="21">
        <f>IF(OR(I107="",J107=""),"",INDEX(Criterios!$B$22:$F$26,6-I107,J107))</f>
        <v/>
      </c>
      <c r="L107" s="8" t="n"/>
      <c r="M107" s="8" t="n"/>
      <c r="N107" s="8" t="n"/>
      <c r="O107" s="8" t="n"/>
      <c r="P107" s="8" t="n"/>
      <c r="Q107" s="21">
        <f>IF(OR(O107="",P107=""),"",INDEX(Criterios!$B$22:$F$26,6-O107,P107))</f>
        <v/>
      </c>
      <c r="R107" s="8" t="n"/>
      <c r="S107" s="8" t="n"/>
      <c r="T107" s="8" t="n"/>
      <c r="U107" s="22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21">
        <f>IF(COUNT(F108:H108)=0,"",MAX(F108:H108))</f>
        <v/>
      </c>
      <c r="J108" s="8" t="n"/>
      <c r="K108" s="21">
        <f>IF(OR(I108="",J108=""),"",INDEX(Criterios!$B$22:$F$26,6-I108,J108))</f>
        <v/>
      </c>
      <c r="L108" s="8" t="n"/>
      <c r="M108" s="8" t="n"/>
      <c r="N108" s="8" t="n"/>
      <c r="O108" s="8" t="n"/>
      <c r="P108" s="8" t="n"/>
      <c r="Q108" s="21">
        <f>IF(OR(O108="",P108=""),"",INDEX(Criterios!$B$22:$F$26,6-O108,P108))</f>
        <v/>
      </c>
      <c r="R108" s="8" t="n"/>
      <c r="S108" s="8" t="n"/>
      <c r="T108" s="8" t="n"/>
      <c r="U108" s="22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21">
        <f>IF(COUNT(F109:H109)=0,"",MAX(F109:H109))</f>
        <v/>
      </c>
      <c r="J109" s="8" t="n"/>
      <c r="K109" s="21">
        <f>IF(OR(I109="",J109=""),"",INDEX(Criterios!$B$22:$F$26,6-I109,J109))</f>
        <v/>
      </c>
      <c r="L109" s="8" t="n"/>
      <c r="M109" s="8" t="n"/>
      <c r="N109" s="8" t="n"/>
      <c r="O109" s="8" t="n"/>
      <c r="P109" s="8" t="n"/>
      <c r="Q109" s="21">
        <f>IF(OR(O109="",P109=""),"",INDEX(Criterios!$B$22:$F$26,6-O109,P109))</f>
        <v/>
      </c>
      <c r="R109" s="8" t="n"/>
      <c r="S109" s="8" t="n"/>
      <c r="T109" s="8" t="n"/>
      <c r="U109" s="22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21">
        <f>IF(COUNT(F110:H110)=0,"",MAX(F110:H110))</f>
        <v/>
      </c>
      <c r="J110" s="8" t="n"/>
      <c r="K110" s="21">
        <f>IF(OR(I110="",J110=""),"",INDEX(Criterios!$B$22:$F$26,6-I110,J110))</f>
        <v/>
      </c>
      <c r="L110" s="8" t="n"/>
      <c r="M110" s="8" t="n"/>
      <c r="N110" s="8" t="n"/>
      <c r="O110" s="8" t="n"/>
      <c r="P110" s="8" t="n"/>
      <c r="Q110" s="21">
        <f>IF(OR(O110="",P110=""),"",INDEX(Criterios!$B$22:$F$26,6-O110,P110))</f>
        <v/>
      </c>
      <c r="R110" s="8" t="n"/>
      <c r="S110" s="8" t="n"/>
      <c r="T110" s="8" t="n"/>
      <c r="U110" s="22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21">
        <f>IF(COUNT(F111:H111)=0,"",MAX(F111:H111))</f>
        <v/>
      </c>
      <c r="J111" s="8" t="n"/>
      <c r="K111" s="21">
        <f>IF(OR(I111="",J111=""),"",INDEX(Criterios!$B$22:$F$26,6-I111,J111))</f>
        <v/>
      </c>
      <c r="L111" s="8" t="n"/>
      <c r="M111" s="8" t="n"/>
      <c r="N111" s="8" t="n"/>
      <c r="O111" s="8" t="n"/>
      <c r="P111" s="8" t="n"/>
      <c r="Q111" s="21">
        <f>IF(OR(O111="",P111=""),"",INDEX(Criterios!$B$22:$F$26,6-O111,P111))</f>
        <v/>
      </c>
      <c r="R111" s="8" t="n"/>
      <c r="S111" s="8" t="n"/>
      <c r="T111" s="8" t="n"/>
      <c r="U111" s="22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21">
        <f>IF(COUNT(F112:H112)=0,"",MAX(F112:H112))</f>
        <v/>
      </c>
      <c r="J112" s="8" t="n"/>
      <c r="K112" s="21">
        <f>IF(OR(I112="",J112=""),"",INDEX(Criterios!$B$22:$F$26,6-I112,J112))</f>
        <v/>
      </c>
      <c r="L112" s="8" t="n"/>
      <c r="M112" s="8" t="n"/>
      <c r="N112" s="8" t="n"/>
      <c r="O112" s="8" t="n"/>
      <c r="P112" s="8" t="n"/>
      <c r="Q112" s="21">
        <f>IF(OR(O112="",P112=""),"",INDEX(Criterios!$B$22:$F$26,6-O112,P112))</f>
        <v/>
      </c>
      <c r="R112" s="8" t="n"/>
      <c r="S112" s="8" t="n"/>
      <c r="T112" s="8" t="n"/>
      <c r="U112" s="22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21">
        <f>IF(COUNT(F113:H113)=0,"",MAX(F113:H113))</f>
        <v/>
      </c>
      <c r="J113" s="8" t="n"/>
      <c r="K113" s="21">
        <f>IF(OR(I113="",J113=""),"",INDEX(Criterios!$B$22:$F$26,6-I113,J113))</f>
        <v/>
      </c>
      <c r="L113" s="8" t="n"/>
      <c r="M113" s="8" t="n"/>
      <c r="N113" s="8" t="n"/>
      <c r="O113" s="8" t="n"/>
      <c r="P113" s="8" t="n"/>
      <c r="Q113" s="21">
        <f>IF(OR(O113="",P113=""),"",INDEX(Criterios!$B$22:$F$26,6-O113,P113))</f>
        <v/>
      </c>
      <c r="R113" s="8" t="n"/>
      <c r="S113" s="8" t="n"/>
      <c r="T113" s="8" t="n"/>
      <c r="U113" s="22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21">
        <f>IF(COUNT(F114:H114)=0,"",MAX(F114:H114))</f>
        <v/>
      </c>
      <c r="J114" s="8" t="n"/>
      <c r="K114" s="21">
        <f>IF(OR(I114="",J114=""),"",INDEX(Criterios!$B$22:$F$26,6-I114,J114))</f>
        <v/>
      </c>
      <c r="L114" s="8" t="n"/>
      <c r="M114" s="8" t="n"/>
      <c r="N114" s="8" t="n"/>
      <c r="O114" s="8" t="n"/>
      <c r="P114" s="8" t="n"/>
      <c r="Q114" s="21">
        <f>IF(OR(O114="",P114=""),"",INDEX(Criterios!$B$22:$F$26,6-O114,P114))</f>
        <v/>
      </c>
      <c r="R114" s="8" t="n"/>
      <c r="S114" s="8" t="n"/>
      <c r="T114" s="8" t="n"/>
      <c r="U114" s="22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21">
        <f>IF(COUNT(F115:H115)=0,"",MAX(F115:H115))</f>
        <v/>
      </c>
      <c r="J115" s="8" t="n"/>
      <c r="K115" s="21">
        <f>IF(OR(I115="",J115=""),"",INDEX(Criterios!$B$22:$F$26,6-I115,J115))</f>
        <v/>
      </c>
      <c r="L115" s="8" t="n"/>
      <c r="M115" s="8" t="n"/>
      <c r="N115" s="8" t="n"/>
      <c r="O115" s="8" t="n"/>
      <c r="P115" s="8" t="n"/>
      <c r="Q115" s="21">
        <f>IF(OR(O115="",P115=""),"",INDEX(Criterios!$B$22:$F$26,6-O115,P115))</f>
        <v/>
      </c>
      <c r="R115" s="8" t="n"/>
      <c r="S115" s="8" t="n"/>
      <c r="T115" s="8" t="n"/>
      <c r="U115" s="22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21">
        <f>IF(COUNT(F116:H116)=0,"",MAX(F116:H116))</f>
        <v/>
      </c>
      <c r="J116" s="8" t="n"/>
      <c r="K116" s="21">
        <f>IF(OR(I116="",J116=""),"",INDEX(Criterios!$B$22:$F$26,6-I116,J116))</f>
        <v/>
      </c>
      <c r="L116" s="8" t="n"/>
      <c r="M116" s="8" t="n"/>
      <c r="N116" s="8" t="n"/>
      <c r="O116" s="8" t="n"/>
      <c r="P116" s="8" t="n"/>
      <c r="Q116" s="21">
        <f>IF(OR(O116="",P116=""),"",INDEX(Criterios!$B$22:$F$26,6-O116,P116))</f>
        <v/>
      </c>
      <c r="R116" s="8" t="n"/>
      <c r="S116" s="8" t="n"/>
      <c r="T116" s="8" t="n"/>
      <c r="U116" s="22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21">
        <f>IF(COUNT(F117:H117)=0,"",MAX(F117:H117))</f>
        <v/>
      </c>
      <c r="J117" s="8" t="n"/>
      <c r="K117" s="21">
        <f>IF(OR(I117="",J117=""),"",INDEX(Criterios!$B$22:$F$26,6-I117,J117))</f>
        <v/>
      </c>
      <c r="L117" s="8" t="n"/>
      <c r="M117" s="8" t="n"/>
      <c r="N117" s="8" t="n"/>
      <c r="O117" s="8" t="n"/>
      <c r="P117" s="8" t="n"/>
      <c r="Q117" s="21">
        <f>IF(OR(O117="",P117=""),"",INDEX(Criterios!$B$22:$F$26,6-O117,P117))</f>
        <v/>
      </c>
      <c r="R117" s="8" t="n"/>
      <c r="S117" s="8" t="n"/>
      <c r="T117" s="8" t="n"/>
      <c r="U117" s="22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21">
        <f>IF(COUNT(F118:H118)=0,"",MAX(F118:H118))</f>
        <v/>
      </c>
      <c r="J118" s="8" t="n"/>
      <c r="K118" s="21">
        <f>IF(OR(I118="",J118=""),"",INDEX(Criterios!$B$22:$F$26,6-I118,J118))</f>
        <v/>
      </c>
      <c r="L118" s="8" t="n"/>
      <c r="M118" s="8" t="n"/>
      <c r="N118" s="8" t="n"/>
      <c r="O118" s="8" t="n"/>
      <c r="P118" s="8" t="n"/>
      <c r="Q118" s="21">
        <f>IF(OR(O118="",P118=""),"",INDEX(Criterios!$B$22:$F$26,6-O118,P118))</f>
        <v/>
      </c>
      <c r="R118" s="8" t="n"/>
      <c r="S118" s="8" t="n"/>
      <c r="T118" s="8" t="n"/>
      <c r="U118" s="22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21">
        <f>IF(COUNT(F119:H119)=0,"",MAX(F119:H119))</f>
        <v/>
      </c>
      <c r="J119" s="8" t="n"/>
      <c r="K119" s="21">
        <f>IF(OR(I119="",J119=""),"",INDEX(Criterios!$B$22:$F$26,6-I119,J119))</f>
        <v/>
      </c>
      <c r="L119" s="8" t="n"/>
      <c r="M119" s="8" t="n"/>
      <c r="N119" s="8" t="n"/>
      <c r="O119" s="8" t="n"/>
      <c r="P119" s="8" t="n"/>
      <c r="Q119" s="21">
        <f>IF(OR(O119="",P119=""),"",INDEX(Criterios!$B$22:$F$26,6-O119,P119))</f>
        <v/>
      </c>
      <c r="R119" s="8" t="n"/>
      <c r="S119" s="8" t="n"/>
      <c r="T119" s="8" t="n"/>
      <c r="U119" s="22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21">
        <f>IF(COUNT(F120:H120)=0,"",MAX(F120:H120))</f>
        <v/>
      </c>
      <c r="J120" s="8" t="n"/>
      <c r="K120" s="21">
        <f>IF(OR(I120="",J120=""),"",INDEX(Criterios!$B$22:$F$26,6-I120,J120))</f>
        <v/>
      </c>
      <c r="L120" s="8" t="n"/>
      <c r="M120" s="8" t="n"/>
      <c r="N120" s="8" t="n"/>
      <c r="O120" s="8" t="n"/>
      <c r="P120" s="8" t="n"/>
      <c r="Q120" s="21">
        <f>IF(OR(O120="",P120=""),"",INDEX(Criterios!$B$22:$F$26,6-O120,P120))</f>
        <v/>
      </c>
      <c r="R120" s="8" t="n"/>
      <c r="S120" s="8" t="n"/>
      <c r="T120" s="8" t="n"/>
      <c r="U120" s="22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21">
        <f>IF(COUNT(F121:H121)=0,"",MAX(F121:H121))</f>
        <v/>
      </c>
      <c r="J121" s="8" t="n"/>
      <c r="K121" s="21">
        <f>IF(OR(I121="",J121=""),"",INDEX(Criterios!$B$22:$F$26,6-I121,J121))</f>
        <v/>
      </c>
      <c r="L121" s="8" t="n"/>
      <c r="M121" s="8" t="n"/>
      <c r="N121" s="8" t="n"/>
      <c r="O121" s="8" t="n"/>
      <c r="P121" s="8" t="n"/>
      <c r="Q121" s="21">
        <f>IF(OR(O121="",P121=""),"",INDEX(Criterios!$B$22:$F$26,6-O121,P121))</f>
        <v/>
      </c>
      <c r="R121" s="8" t="n"/>
      <c r="S121" s="8" t="n"/>
      <c r="T121" s="8" t="n"/>
      <c r="U121" s="22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21">
        <f>IF(COUNT(F122:H122)=0,"",MAX(F122:H122))</f>
        <v/>
      </c>
      <c r="J122" s="8" t="n"/>
      <c r="K122" s="21">
        <f>IF(OR(I122="",J122=""),"",INDEX(Criterios!$B$22:$F$26,6-I122,J122))</f>
        <v/>
      </c>
      <c r="L122" s="8" t="n"/>
      <c r="M122" s="8" t="n"/>
      <c r="N122" s="8" t="n"/>
      <c r="O122" s="8" t="n"/>
      <c r="P122" s="8" t="n"/>
      <c r="Q122" s="21">
        <f>IF(OR(O122="",P122=""),"",INDEX(Criterios!$B$22:$F$26,6-O122,P122))</f>
        <v/>
      </c>
      <c r="R122" s="8" t="n"/>
      <c r="S122" s="8" t="n"/>
      <c r="T122" s="8" t="n"/>
      <c r="U122" s="22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21">
        <f>IF(COUNT(F123:H123)=0,"",MAX(F123:H123))</f>
        <v/>
      </c>
      <c r="J123" s="8" t="n"/>
      <c r="K123" s="21">
        <f>IF(OR(I123="",J123=""),"",INDEX(Criterios!$B$22:$F$26,6-I123,J123))</f>
        <v/>
      </c>
      <c r="L123" s="8" t="n"/>
      <c r="M123" s="8" t="n"/>
      <c r="N123" s="8" t="n"/>
      <c r="O123" s="8" t="n"/>
      <c r="P123" s="8" t="n"/>
      <c r="Q123" s="21">
        <f>IF(OR(O123="",P123=""),"",INDEX(Criterios!$B$22:$F$26,6-O123,P123))</f>
        <v/>
      </c>
      <c r="R123" s="8" t="n"/>
      <c r="S123" s="8" t="n"/>
      <c r="T123" s="8" t="n"/>
      <c r="U123" s="22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21">
        <f>IF(COUNT(F124:H124)=0,"",MAX(F124:H124))</f>
        <v/>
      </c>
      <c r="J124" s="8" t="n"/>
      <c r="K124" s="21">
        <f>IF(OR(I124="",J124=""),"",INDEX(Criterios!$B$22:$F$26,6-I124,J124))</f>
        <v/>
      </c>
      <c r="L124" s="8" t="n"/>
      <c r="M124" s="8" t="n"/>
      <c r="N124" s="8" t="n"/>
      <c r="O124" s="8" t="n"/>
      <c r="P124" s="8" t="n"/>
      <c r="Q124" s="21">
        <f>IF(OR(O124="",P124=""),"",INDEX(Criterios!$B$22:$F$26,6-O124,P124))</f>
        <v/>
      </c>
      <c r="R124" s="8" t="n"/>
      <c r="S124" s="8" t="n"/>
      <c r="T124" s="8" t="n"/>
      <c r="U124" s="22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21">
        <f>IF(COUNT(F125:H125)=0,"",MAX(F125:H125))</f>
        <v/>
      </c>
      <c r="J125" s="8" t="n"/>
      <c r="K125" s="21">
        <f>IF(OR(I125="",J125=""),"",INDEX(Criterios!$B$22:$F$26,6-I125,J125))</f>
        <v/>
      </c>
      <c r="L125" s="8" t="n"/>
      <c r="M125" s="8" t="n"/>
      <c r="N125" s="8" t="n"/>
      <c r="O125" s="8" t="n"/>
      <c r="P125" s="8" t="n"/>
      <c r="Q125" s="21">
        <f>IF(OR(O125="",P125=""),"",INDEX(Criterios!$B$22:$F$26,6-O125,P125))</f>
        <v/>
      </c>
      <c r="R125" s="8" t="n"/>
      <c r="S125" s="8" t="n"/>
      <c r="T125" s="8" t="n"/>
      <c r="U125" s="22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21">
        <f>IF(COUNT(F126:H126)=0,"",MAX(F126:H126))</f>
        <v/>
      </c>
      <c r="J126" s="8" t="n"/>
      <c r="K126" s="21">
        <f>IF(OR(I126="",J126=""),"",INDEX(Criterios!$B$22:$F$26,6-I126,J126))</f>
        <v/>
      </c>
      <c r="L126" s="8" t="n"/>
      <c r="M126" s="8" t="n"/>
      <c r="N126" s="8" t="n"/>
      <c r="O126" s="8" t="n"/>
      <c r="P126" s="8" t="n"/>
      <c r="Q126" s="21">
        <f>IF(OR(O126="",P126=""),"",INDEX(Criterios!$B$22:$F$26,6-O126,P126))</f>
        <v/>
      </c>
      <c r="R126" s="8" t="n"/>
      <c r="S126" s="8" t="n"/>
      <c r="T126" s="8" t="n"/>
      <c r="U126" s="22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21">
        <f>IF(COUNT(F127:H127)=0,"",MAX(F127:H127))</f>
        <v/>
      </c>
      <c r="J127" s="8" t="n"/>
      <c r="K127" s="21">
        <f>IF(OR(I127="",J127=""),"",INDEX(Criterios!$B$22:$F$26,6-I127,J127))</f>
        <v/>
      </c>
      <c r="L127" s="8" t="n"/>
      <c r="M127" s="8" t="n"/>
      <c r="N127" s="8" t="n"/>
      <c r="O127" s="8" t="n"/>
      <c r="P127" s="8" t="n"/>
      <c r="Q127" s="21">
        <f>IF(OR(O127="",P127=""),"",INDEX(Criterios!$B$22:$F$26,6-O127,P127))</f>
        <v/>
      </c>
      <c r="R127" s="8" t="n"/>
      <c r="S127" s="8" t="n"/>
      <c r="T127" s="8" t="n"/>
      <c r="U127" s="22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21">
        <f>IF(COUNT(F128:H128)=0,"",MAX(F128:H128))</f>
        <v/>
      </c>
      <c r="J128" s="8" t="n"/>
      <c r="K128" s="21">
        <f>IF(OR(I128="",J128=""),"",INDEX(Criterios!$B$22:$F$26,6-I128,J128))</f>
        <v/>
      </c>
      <c r="L128" s="8" t="n"/>
      <c r="M128" s="8" t="n"/>
      <c r="N128" s="8" t="n"/>
      <c r="O128" s="8" t="n"/>
      <c r="P128" s="8" t="n"/>
      <c r="Q128" s="21">
        <f>IF(OR(O128="",P128=""),"",INDEX(Criterios!$B$22:$F$26,6-O128,P128))</f>
        <v/>
      </c>
      <c r="R128" s="8" t="n"/>
      <c r="S128" s="8" t="n"/>
      <c r="T128" s="8" t="n"/>
      <c r="U128" s="22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21">
        <f>IF(COUNT(F129:H129)=0,"",MAX(F129:H129))</f>
        <v/>
      </c>
      <c r="J129" s="8" t="n"/>
      <c r="K129" s="21">
        <f>IF(OR(I129="",J129=""),"",INDEX(Criterios!$B$22:$F$26,6-I129,J129))</f>
        <v/>
      </c>
      <c r="L129" s="8" t="n"/>
      <c r="M129" s="8" t="n"/>
      <c r="N129" s="8" t="n"/>
      <c r="O129" s="8" t="n"/>
      <c r="P129" s="8" t="n"/>
      <c r="Q129" s="21">
        <f>IF(OR(O129="",P129=""),"",INDEX(Criterios!$B$22:$F$26,6-O129,P129))</f>
        <v/>
      </c>
      <c r="R129" s="8" t="n"/>
      <c r="S129" s="8" t="n"/>
      <c r="T129" s="8" t="n"/>
      <c r="U129" s="22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21">
        <f>IF(COUNT(F130:H130)=0,"",MAX(F130:H130))</f>
        <v/>
      </c>
      <c r="J130" s="8" t="n"/>
      <c r="K130" s="21">
        <f>IF(OR(I130="",J130=""),"",INDEX(Criterios!$B$22:$F$26,6-I130,J130))</f>
        <v/>
      </c>
      <c r="L130" s="8" t="n"/>
      <c r="M130" s="8" t="n"/>
      <c r="N130" s="8" t="n"/>
      <c r="O130" s="8" t="n"/>
      <c r="P130" s="8" t="n"/>
      <c r="Q130" s="21">
        <f>IF(OR(O130="",P130=""),"",INDEX(Criterios!$B$22:$F$26,6-O130,P130))</f>
        <v/>
      </c>
      <c r="R130" s="8" t="n"/>
      <c r="S130" s="8" t="n"/>
      <c r="T130" s="8" t="n"/>
      <c r="U130" s="22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21">
        <f>IF(COUNT(F131:H131)=0,"",MAX(F131:H131))</f>
        <v/>
      </c>
      <c r="J131" s="8" t="n"/>
      <c r="K131" s="21">
        <f>IF(OR(I131="",J131=""),"",INDEX(Criterios!$B$22:$F$26,6-I131,J131))</f>
        <v/>
      </c>
      <c r="L131" s="8" t="n"/>
      <c r="M131" s="8" t="n"/>
      <c r="N131" s="8" t="n"/>
      <c r="O131" s="8" t="n"/>
      <c r="P131" s="8" t="n"/>
      <c r="Q131" s="21">
        <f>IF(OR(O131="",P131=""),"",INDEX(Criterios!$B$22:$F$26,6-O131,P131))</f>
        <v/>
      </c>
      <c r="R131" s="8" t="n"/>
      <c r="S131" s="8" t="n"/>
      <c r="T131" s="8" t="n"/>
      <c r="U131" s="22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21">
        <f>IF(COUNT(F132:H132)=0,"",MAX(F132:H132))</f>
        <v/>
      </c>
      <c r="J132" s="8" t="n"/>
      <c r="K132" s="21">
        <f>IF(OR(I132="",J132=""),"",INDEX(Criterios!$B$22:$F$26,6-I132,J132))</f>
        <v/>
      </c>
      <c r="L132" s="8" t="n"/>
      <c r="M132" s="8" t="n"/>
      <c r="N132" s="8" t="n"/>
      <c r="O132" s="8" t="n"/>
      <c r="P132" s="8" t="n"/>
      <c r="Q132" s="21">
        <f>IF(OR(O132="",P132=""),"",INDEX(Criterios!$B$22:$F$26,6-O132,P132))</f>
        <v/>
      </c>
      <c r="R132" s="8" t="n"/>
      <c r="S132" s="8" t="n"/>
      <c r="T132" s="8" t="n"/>
      <c r="U132" s="22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21">
        <f>IF(COUNT(F133:H133)=0,"",MAX(F133:H133))</f>
        <v/>
      </c>
      <c r="J133" s="8" t="n"/>
      <c r="K133" s="21">
        <f>IF(OR(I133="",J133=""),"",INDEX(Criterios!$B$22:$F$26,6-I133,J133))</f>
        <v/>
      </c>
      <c r="L133" s="8" t="n"/>
      <c r="M133" s="8" t="n"/>
      <c r="N133" s="8" t="n"/>
      <c r="O133" s="8" t="n"/>
      <c r="P133" s="8" t="n"/>
      <c r="Q133" s="21">
        <f>IF(OR(O133="",P133=""),"",INDEX(Criterios!$B$22:$F$26,6-O133,P133))</f>
        <v/>
      </c>
      <c r="R133" s="8" t="n"/>
      <c r="S133" s="8" t="n"/>
      <c r="T133" s="8" t="n"/>
      <c r="U133" s="22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21">
        <f>IF(COUNT(F134:H134)=0,"",MAX(F134:H134))</f>
        <v/>
      </c>
      <c r="J134" s="8" t="n"/>
      <c r="K134" s="21">
        <f>IF(OR(I134="",J134=""),"",INDEX(Criterios!$B$22:$F$26,6-I134,J134))</f>
        <v/>
      </c>
      <c r="L134" s="8" t="n"/>
      <c r="M134" s="8" t="n"/>
      <c r="N134" s="8" t="n"/>
      <c r="O134" s="8" t="n"/>
      <c r="P134" s="8" t="n"/>
      <c r="Q134" s="21">
        <f>IF(OR(O134="",P134=""),"",INDEX(Criterios!$B$22:$F$26,6-O134,P134))</f>
        <v/>
      </c>
      <c r="R134" s="8" t="n"/>
      <c r="S134" s="8" t="n"/>
      <c r="T134" s="8" t="n"/>
      <c r="U134" s="22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21">
        <f>IF(COUNT(F135:H135)=0,"",MAX(F135:H135))</f>
        <v/>
      </c>
      <c r="J135" s="8" t="n"/>
      <c r="K135" s="21">
        <f>IF(OR(I135="",J135=""),"",INDEX(Criterios!$B$22:$F$26,6-I135,J135))</f>
        <v/>
      </c>
      <c r="L135" s="8" t="n"/>
      <c r="M135" s="8" t="n"/>
      <c r="N135" s="8" t="n"/>
      <c r="O135" s="8" t="n"/>
      <c r="P135" s="8" t="n"/>
      <c r="Q135" s="21">
        <f>IF(OR(O135="",P135=""),"",INDEX(Criterios!$B$22:$F$26,6-O135,P135))</f>
        <v/>
      </c>
      <c r="R135" s="8" t="n"/>
      <c r="S135" s="8" t="n"/>
      <c r="T135" s="8" t="n"/>
      <c r="U135" s="22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21">
        <f>IF(COUNT(F136:H136)=0,"",MAX(F136:H136))</f>
        <v/>
      </c>
      <c r="J136" s="8" t="n"/>
      <c r="K136" s="21">
        <f>IF(OR(I136="",J136=""),"",INDEX(Criterios!$B$22:$F$26,6-I136,J136))</f>
        <v/>
      </c>
      <c r="L136" s="8" t="n"/>
      <c r="M136" s="8" t="n"/>
      <c r="N136" s="8" t="n"/>
      <c r="O136" s="8" t="n"/>
      <c r="P136" s="8" t="n"/>
      <c r="Q136" s="21">
        <f>IF(OR(O136="",P136=""),"",INDEX(Criterios!$B$22:$F$26,6-O136,P136))</f>
        <v/>
      </c>
      <c r="R136" s="8" t="n"/>
      <c r="S136" s="8" t="n"/>
      <c r="T136" s="8" t="n"/>
      <c r="U136" s="22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21">
        <f>IF(COUNT(F137:H137)=0,"",MAX(F137:H137))</f>
        <v/>
      </c>
      <c r="J137" s="8" t="n"/>
      <c r="K137" s="21">
        <f>IF(OR(I137="",J137=""),"",INDEX(Criterios!$B$22:$F$26,6-I137,J137))</f>
        <v/>
      </c>
      <c r="L137" s="8" t="n"/>
      <c r="M137" s="8" t="n"/>
      <c r="N137" s="8" t="n"/>
      <c r="O137" s="8" t="n"/>
      <c r="P137" s="8" t="n"/>
      <c r="Q137" s="21">
        <f>IF(OR(O137="",P137=""),"",INDEX(Criterios!$B$22:$F$26,6-O137,P137))</f>
        <v/>
      </c>
      <c r="R137" s="8" t="n"/>
      <c r="S137" s="8" t="n"/>
      <c r="T137" s="8" t="n"/>
      <c r="U137" s="22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21">
        <f>IF(COUNT(F138:H138)=0,"",MAX(F138:H138))</f>
        <v/>
      </c>
      <c r="J138" s="8" t="n"/>
      <c r="K138" s="21">
        <f>IF(OR(I138="",J138=""),"",INDEX(Criterios!$B$22:$F$26,6-I138,J138))</f>
        <v/>
      </c>
      <c r="L138" s="8" t="n"/>
      <c r="M138" s="8" t="n"/>
      <c r="N138" s="8" t="n"/>
      <c r="O138" s="8" t="n"/>
      <c r="P138" s="8" t="n"/>
      <c r="Q138" s="21">
        <f>IF(OR(O138="",P138=""),"",INDEX(Criterios!$B$22:$F$26,6-O138,P138))</f>
        <v/>
      </c>
      <c r="R138" s="8" t="n"/>
      <c r="S138" s="8" t="n"/>
      <c r="T138" s="8" t="n"/>
      <c r="U138" s="22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21">
        <f>IF(COUNT(F139:H139)=0,"",MAX(F139:H139))</f>
        <v/>
      </c>
      <c r="J139" s="8" t="n"/>
      <c r="K139" s="21">
        <f>IF(OR(I139="",J139=""),"",INDEX(Criterios!$B$22:$F$26,6-I139,J139))</f>
        <v/>
      </c>
      <c r="L139" s="8" t="n"/>
      <c r="M139" s="8" t="n"/>
      <c r="N139" s="8" t="n"/>
      <c r="O139" s="8" t="n"/>
      <c r="P139" s="8" t="n"/>
      <c r="Q139" s="21">
        <f>IF(OR(O139="",P139=""),"",INDEX(Criterios!$B$22:$F$26,6-O139,P139))</f>
        <v/>
      </c>
      <c r="R139" s="8" t="n"/>
      <c r="S139" s="8" t="n"/>
      <c r="T139" s="8" t="n"/>
      <c r="U139" s="22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21">
        <f>IF(COUNT(F140:H140)=0,"",MAX(F140:H140))</f>
        <v/>
      </c>
      <c r="J140" s="8" t="n"/>
      <c r="K140" s="21">
        <f>IF(OR(I140="",J140=""),"",INDEX(Criterios!$B$22:$F$26,6-I140,J140))</f>
        <v/>
      </c>
      <c r="L140" s="8" t="n"/>
      <c r="M140" s="8" t="n"/>
      <c r="N140" s="8" t="n"/>
      <c r="O140" s="8" t="n"/>
      <c r="P140" s="8" t="n"/>
      <c r="Q140" s="21">
        <f>IF(OR(O140="",P140=""),"",INDEX(Criterios!$B$22:$F$26,6-O140,P140))</f>
        <v/>
      </c>
      <c r="R140" s="8" t="n"/>
      <c r="S140" s="8" t="n"/>
      <c r="T140" s="8" t="n"/>
      <c r="U140" s="22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21">
        <f>IF(COUNT(F141:H141)=0,"",MAX(F141:H141))</f>
        <v/>
      </c>
      <c r="J141" s="8" t="n"/>
      <c r="K141" s="21">
        <f>IF(OR(I141="",J141=""),"",INDEX(Criterios!$B$22:$F$26,6-I141,J141))</f>
        <v/>
      </c>
      <c r="L141" s="8" t="n"/>
      <c r="M141" s="8" t="n"/>
      <c r="N141" s="8" t="n"/>
      <c r="O141" s="8" t="n"/>
      <c r="P141" s="8" t="n"/>
      <c r="Q141" s="21">
        <f>IF(OR(O141="",P141=""),"",INDEX(Criterios!$B$22:$F$26,6-O141,P141))</f>
        <v/>
      </c>
      <c r="R141" s="8" t="n"/>
      <c r="S141" s="8" t="n"/>
      <c r="T141" s="8" t="n"/>
      <c r="U141" s="22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21">
        <f>IF(COUNT(F142:H142)=0,"",MAX(F142:H142))</f>
        <v/>
      </c>
      <c r="J142" s="8" t="n"/>
      <c r="K142" s="21">
        <f>IF(OR(I142="",J142=""),"",INDEX(Criterios!$B$22:$F$26,6-I142,J142))</f>
        <v/>
      </c>
      <c r="L142" s="8" t="n"/>
      <c r="M142" s="8" t="n"/>
      <c r="N142" s="8" t="n"/>
      <c r="O142" s="8" t="n"/>
      <c r="P142" s="8" t="n"/>
      <c r="Q142" s="21">
        <f>IF(OR(O142="",P142=""),"",INDEX(Criterios!$B$22:$F$26,6-O142,P142))</f>
        <v/>
      </c>
      <c r="R142" s="8" t="n"/>
      <c r="S142" s="8" t="n"/>
      <c r="T142" s="8" t="n"/>
      <c r="U142" s="22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21">
        <f>IF(COUNT(F143:H143)=0,"",MAX(F143:H143))</f>
        <v/>
      </c>
      <c r="J143" s="8" t="n"/>
      <c r="K143" s="21">
        <f>IF(OR(I143="",J143=""),"",INDEX(Criterios!$B$22:$F$26,6-I143,J143))</f>
        <v/>
      </c>
      <c r="L143" s="8" t="n"/>
      <c r="M143" s="8" t="n"/>
      <c r="N143" s="8" t="n"/>
      <c r="O143" s="8" t="n"/>
      <c r="P143" s="8" t="n"/>
      <c r="Q143" s="21">
        <f>IF(OR(O143="",P143=""),"",INDEX(Criterios!$B$22:$F$26,6-O143,P143))</f>
        <v/>
      </c>
      <c r="R143" s="8" t="n"/>
      <c r="S143" s="8" t="n"/>
      <c r="T143" s="8" t="n"/>
      <c r="U143" s="22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21">
        <f>IF(COUNT(F144:H144)=0,"",MAX(F144:H144))</f>
        <v/>
      </c>
      <c r="J144" s="8" t="n"/>
      <c r="K144" s="21">
        <f>IF(OR(I144="",J144=""),"",INDEX(Criterios!$B$22:$F$26,6-I144,J144))</f>
        <v/>
      </c>
      <c r="L144" s="8" t="n"/>
      <c r="M144" s="8" t="n"/>
      <c r="N144" s="8" t="n"/>
      <c r="O144" s="8" t="n"/>
      <c r="P144" s="8" t="n"/>
      <c r="Q144" s="21">
        <f>IF(OR(O144="",P144=""),"",INDEX(Criterios!$B$22:$F$26,6-O144,P144))</f>
        <v/>
      </c>
      <c r="R144" s="8" t="n"/>
      <c r="S144" s="8" t="n"/>
      <c r="T144" s="8" t="n"/>
      <c r="U144" s="22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21">
        <f>IF(COUNT(F145:H145)=0,"",MAX(F145:H145))</f>
        <v/>
      </c>
      <c r="J145" s="8" t="n"/>
      <c r="K145" s="21">
        <f>IF(OR(I145="",J145=""),"",INDEX(Criterios!$B$22:$F$26,6-I145,J145))</f>
        <v/>
      </c>
      <c r="L145" s="8" t="n"/>
      <c r="M145" s="8" t="n"/>
      <c r="N145" s="8" t="n"/>
      <c r="O145" s="8" t="n"/>
      <c r="P145" s="8" t="n"/>
      <c r="Q145" s="21">
        <f>IF(OR(O145="",P145=""),"",INDEX(Criterios!$B$22:$F$26,6-O145,P145))</f>
        <v/>
      </c>
      <c r="R145" s="8" t="n"/>
      <c r="S145" s="8" t="n"/>
      <c r="T145" s="8" t="n"/>
      <c r="U145" s="22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21">
        <f>IF(COUNT(F146:H146)=0,"",MAX(F146:H146))</f>
        <v/>
      </c>
      <c r="J146" s="8" t="n"/>
      <c r="K146" s="21">
        <f>IF(OR(I146="",J146=""),"",INDEX(Criterios!$B$22:$F$26,6-I146,J146))</f>
        <v/>
      </c>
      <c r="L146" s="8" t="n"/>
      <c r="M146" s="8" t="n"/>
      <c r="N146" s="8" t="n"/>
      <c r="O146" s="8" t="n"/>
      <c r="P146" s="8" t="n"/>
      <c r="Q146" s="21">
        <f>IF(OR(O146="",P146=""),"",INDEX(Criterios!$B$22:$F$26,6-O146,P146))</f>
        <v/>
      </c>
      <c r="R146" s="8" t="n"/>
      <c r="S146" s="8" t="n"/>
      <c r="T146" s="8" t="n"/>
      <c r="U146" s="22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21">
        <f>IF(COUNT(F147:H147)=0,"",MAX(F147:H147))</f>
        <v/>
      </c>
      <c r="J147" s="8" t="n"/>
      <c r="K147" s="21">
        <f>IF(OR(I147="",J147=""),"",INDEX(Criterios!$B$22:$F$26,6-I147,J147))</f>
        <v/>
      </c>
      <c r="L147" s="8" t="n"/>
      <c r="M147" s="8" t="n"/>
      <c r="N147" s="8" t="n"/>
      <c r="O147" s="8" t="n"/>
      <c r="P147" s="8" t="n"/>
      <c r="Q147" s="21">
        <f>IF(OR(O147="",P147=""),"",INDEX(Criterios!$B$22:$F$26,6-O147,P147))</f>
        <v/>
      </c>
      <c r="R147" s="8" t="n"/>
      <c r="S147" s="8" t="n"/>
      <c r="T147" s="8" t="n"/>
      <c r="U147" s="22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21">
        <f>IF(COUNT(F148:H148)=0,"",MAX(F148:H148))</f>
        <v/>
      </c>
      <c r="J148" s="8" t="n"/>
      <c r="K148" s="21">
        <f>IF(OR(I148="",J148=""),"",INDEX(Criterios!$B$22:$F$26,6-I148,J148))</f>
        <v/>
      </c>
      <c r="L148" s="8" t="n"/>
      <c r="M148" s="8" t="n"/>
      <c r="N148" s="8" t="n"/>
      <c r="O148" s="8" t="n"/>
      <c r="P148" s="8" t="n"/>
      <c r="Q148" s="21">
        <f>IF(OR(O148="",P148=""),"",INDEX(Criterios!$B$22:$F$26,6-O148,P148))</f>
        <v/>
      </c>
      <c r="R148" s="8" t="n"/>
      <c r="S148" s="8" t="n"/>
      <c r="T148" s="8" t="n"/>
      <c r="U148" s="22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21">
        <f>IF(COUNT(F149:H149)=0,"",MAX(F149:H149))</f>
        <v/>
      </c>
      <c r="J149" s="8" t="n"/>
      <c r="K149" s="21">
        <f>IF(OR(I149="",J149=""),"",INDEX(Criterios!$B$22:$F$26,6-I149,J149))</f>
        <v/>
      </c>
      <c r="L149" s="8" t="n"/>
      <c r="M149" s="8" t="n"/>
      <c r="N149" s="8" t="n"/>
      <c r="O149" s="8" t="n"/>
      <c r="P149" s="8" t="n"/>
      <c r="Q149" s="21">
        <f>IF(OR(O149="",P149=""),"",INDEX(Criterios!$B$22:$F$26,6-O149,P149))</f>
        <v/>
      </c>
      <c r="R149" s="8" t="n"/>
      <c r="S149" s="8" t="n"/>
      <c r="T149" s="8" t="n"/>
      <c r="U149" s="22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21">
        <f>IF(COUNT(F150:H150)=0,"",MAX(F150:H150))</f>
        <v/>
      </c>
      <c r="J150" s="8" t="n"/>
      <c r="K150" s="21">
        <f>IF(OR(I150="",J150=""),"",INDEX(Criterios!$B$22:$F$26,6-I150,J150))</f>
        <v/>
      </c>
      <c r="L150" s="8" t="n"/>
      <c r="M150" s="8" t="n"/>
      <c r="N150" s="8" t="n"/>
      <c r="O150" s="8" t="n"/>
      <c r="P150" s="8" t="n"/>
      <c r="Q150" s="21">
        <f>IF(OR(O150="",P150=""),"",INDEX(Criterios!$B$22:$F$26,6-O150,P150))</f>
        <v/>
      </c>
      <c r="R150" s="8" t="n"/>
      <c r="S150" s="8" t="n"/>
      <c r="T150" s="8" t="n"/>
      <c r="U150" s="22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21">
        <f>IF(COUNT(F151:H151)=0,"",MAX(F151:H151))</f>
        <v/>
      </c>
      <c r="J151" s="8" t="n"/>
      <c r="K151" s="21">
        <f>IF(OR(I151="",J151=""),"",INDEX(Criterios!$B$22:$F$26,6-I151,J151))</f>
        <v/>
      </c>
      <c r="L151" s="8" t="n"/>
      <c r="M151" s="8" t="n"/>
      <c r="N151" s="8" t="n"/>
      <c r="O151" s="8" t="n"/>
      <c r="P151" s="8" t="n"/>
      <c r="Q151" s="21">
        <f>IF(OR(O151="",P151=""),"",INDEX(Criterios!$B$22:$F$26,6-O151,P151))</f>
        <v/>
      </c>
      <c r="R151" s="8" t="n"/>
      <c r="S151" s="8" t="n"/>
      <c r="T151" s="8" t="n"/>
      <c r="U151" s="22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21">
        <f>IF(COUNT(F152:H152)=0,"",MAX(F152:H152))</f>
        <v/>
      </c>
      <c r="J152" s="8" t="n"/>
      <c r="K152" s="21">
        <f>IF(OR(I152="",J152=""),"",INDEX(Criterios!$B$22:$F$26,6-I152,J152))</f>
        <v/>
      </c>
      <c r="L152" s="8" t="n"/>
      <c r="M152" s="8" t="n"/>
      <c r="N152" s="8" t="n"/>
      <c r="O152" s="8" t="n"/>
      <c r="P152" s="8" t="n"/>
      <c r="Q152" s="21">
        <f>IF(OR(O152="",P152=""),"",INDEX(Criterios!$B$22:$F$26,6-O152,P152))</f>
        <v/>
      </c>
      <c r="R152" s="8" t="n"/>
      <c r="S152" s="8" t="n"/>
      <c r="T152" s="8" t="n"/>
      <c r="U152" s="22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21">
        <f>IF(COUNT(F153:H153)=0,"",MAX(F153:H153))</f>
        <v/>
      </c>
      <c r="J153" s="8" t="n"/>
      <c r="K153" s="21">
        <f>IF(OR(I153="",J153=""),"",INDEX(Criterios!$B$22:$F$26,6-I153,J153))</f>
        <v/>
      </c>
      <c r="L153" s="8" t="n"/>
      <c r="M153" s="8" t="n"/>
      <c r="N153" s="8" t="n"/>
      <c r="O153" s="8" t="n"/>
      <c r="P153" s="8" t="n"/>
      <c r="Q153" s="21">
        <f>IF(OR(O153="",P153=""),"",INDEX(Criterios!$B$22:$F$26,6-O153,P153))</f>
        <v/>
      </c>
      <c r="R153" s="8" t="n"/>
      <c r="S153" s="8" t="n"/>
      <c r="T153" s="8" t="n"/>
      <c r="U153" s="22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21">
        <f>IF(COUNT(F154:H154)=0,"",MAX(F154:H154))</f>
        <v/>
      </c>
      <c r="J154" s="8" t="n"/>
      <c r="K154" s="21">
        <f>IF(OR(I154="",J154=""),"",INDEX(Criterios!$B$22:$F$26,6-I154,J154))</f>
        <v/>
      </c>
      <c r="L154" s="8" t="n"/>
      <c r="M154" s="8" t="n"/>
      <c r="N154" s="8" t="n"/>
      <c r="O154" s="8" t="n"/>
      <c r="P154" s="8" t="n"/>
      <c r="Q154" s="21">
        <f>IF(OR(O154="",P154=""),"",INDEX(Criterios!$B$22:$F$26,6-O154,P154))</f>
        <v/>
      </c>
      <c r="R154" s="8" t="n"/>
      <c r="S154" s="8" t="n"/>
      <c r="T154" s="8" t="n"/>
      <c r="U154" s="22" t="n"/>
    </row>
  </sheetData>
  <autoFilter ref="A4:U154"/>
  <conditionalFormatting sqref="K5:K154">
    <cfRule type="cellIs" priority="1" operator="equal" dxfId="0">
      <formula>"Bajo"</formula>
    </cfRule>
    <cfRule type="cellIs" priority="2" operator="equal" dxfId="1">
      <formula>"Medio"</formula>
    </cfRule>
    <cfRule type="cellIs" priority="3" operator="equal" dxfId="2">
      <formula>"Alto"</formula>
    </cfRule>
    <cfRule type="cellIs" priority="4" operator="equal" dxfId="3">
      <formula>"Crítico"</formula>
    </cfRule>
  </conditionalFormatting>
  <conditionalFormatting sqref="Q5:Q154">
    <cfRule type="cellIs" priority="5" operator="equal" dxfId="0">
      <formula>"Bajo"</formula>
    </cfRule>
    <cfRule type="cellIs" priority="6" operator="equal" dxfId="1">
      <formula>"Medio"</formula>
    </cfRule>
    <cfRule type="cellIs" priority="7" operator="equal" dxfId="2">
      <formula>"Alto"</formula>
    </cfRule>
    <cfRule type="cellIs" priority="8" operator="equal" dxfId="3">
      <formula>"Crítico"</formula>
    </cfRule>
  </conditionalFormatting>
  <conditionalFormatting sqref="R5:R154">
    <cfRule type="expression" priority="9" dxfId="4">
      <formula>AND(Q5="Crítico",R5="Sí")</formula>
    </cfRule>
  </conditionalFormatting>
  <dataValidations count="10">
    <dataValidation sqref="C5:C154" showDropDown="0" showInputMessage="0" showErrorMessage="0" allowBlank="1" errorTitle="Valor no válido" error="Elige un valor de la lista." promptTitle="Ayuda" prompt="Fuentes de riesgo inspiradas en el Anexo C." type="list">
      <formula1>=Listas!$A$2:$A$13</formula1>
    </dataValidation>
    <dataValidation sqref="F5:F154" showDropDown="0" showInputMessage="0" showErrorMessage="0" allowBlank="1" error="Usa un número del 1 al 5 (hoja Criterios)." type="whole" operator="between">
      <formula1>1</formula1>
      <formula2>5</formula2>
    </dataValidation>
    <dataValidation sqref="G5:G154" showDropDown="0" showInputMessage="0" showErrorMessage="0" allowBlank="1" error="Usa un número del 1 al 5 (hoja Criterios)." type="whole" operator="between">
      <formula1>1</formula1>
      <formula2>5</formula2>
    </dataValidation>
    <dataValidation sqref="H5:H154" showDropDown="0" showInputMessage="0" showErrorMessage="0" allowBlank="1" error="Usa un número del 1 al 5 (hoja Criterios)." type="whole" operator="between">
      <formula1>1</formula1>
      <formula2>5</formula2>
    </dataValidation>
    <dataValidation sqref="J5:J154" showDropDown="0" showInputMessage="0" showErrorMessage="0" allowBlank="1" error="Usa un número del 1 al 5 (hoja Criterios)." type="whole" operator="between">
      <formula1>1</formula1>
      <formula2>5</formula2>
    </dataValidation>
    <dataValidation sqref="O5:O154" showDropDown="0" showInputMessage="0" showErrorMessage="0" allowBlank="1" error="Usa un número del 1 al 5 (hoja Criterios)." type="whole" operator="between">
      <formula1>1</formula1>
      <formula2>5</formula2>
    </dataValidation>
    <dataValidation sqref="P5:P154" showDropDown="0" showInputMessage="0" showErrorMessage="0" allowBlank="1" error="Usa un número del 1 al 5 (hoja Criterios)." type="whole" operator="between">
      <formula1>1</formula1>
      <formula2>5</formula2>
    </dataValidation>
    <dataValidation sqref="L5:L154" showDropDown="0" showInputMessage="0" showErrorMessage="0" allowBlank="1" errorTitle="Valor no válido" error="Elige un valor de la lista." type="list">
      <formula1>=Listas!$B$2:$B$6</formula1>
    </dataValidation>
    <dataValidation sqref="R5:R154" showDropDown="0" showInputMessage="0" showErrorMessage="0" allowBlank="1" errorTitle="Valor no válido" error="Elige un valor de la lista." type="list">
      <formula1>=Listas!$D$2:$D$4</formula1>
    </dataValidation>
    <dataValidation sqref="T5:T154" showDropDown="0" showInputMessage="0" showErrorMessage="0" allowBlank="1" errorTitle="Valor no válido" error="Elige un valor de la lista." type="list">
      <formula1>=Listas!$C$2:$C$6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8" customWidth="1" min="1" max="1"/>
    <col width="26" customWidth="1" min="2" max="2"/>
    <col width="18" customWidth="1" min="3" max="3"/>
    <col width="18" customWidth="1" min="4" max="4"/>
  </cols>
  <sheetData>
    <row r="1">
      <c r="A1" s="10" t="inlineStr">
        <is>
          <t>Fuente</t>
        </is>
      </c>
      <c r="B1" s="10" t="inlineStr">
        <is>
          <t>Tratamiento</t>
        </is>
      </c>
      <c r="C1" s="10" t="inlineStr">
        <is>
          <t>Estado</t>
        </is>
      </c>
      <c r="D1" s="10" t="inlineStr">
        <is>
          <t>SiNo</t>
        </is>
      </c>
    </row>
    <row r="2">
      <c r="A2" t="inlineStr">
        <is>
          <t>Complejidad del entorno</t>
        </is>
      </c>
      <c r="B2" t="inlineStr">
        <is>
          <t>Mitigar</t>
        </is>
      </c>
      <c r="C2" t="inlineStr">
        <is>
          <t>Identificado</t>
        </is>
      </c>
      <c r="D2" t="inlineStr">
        <is>
          <t>Sí</t>
        </is>
      </c>
    </row>
    <row r="3">
      <c r="A3" t="inlineStr">
        <is>
          <t>Falta de transparencia o explicabilidad</t>
        </is>
      </c>
      <c r="B3" t="inlineStr">
        <is>
          <t>Evitar</t>
        </is>
      </c>
      <c r="C3" t="inlineStr">
        <is>
          <t>En tratamiento</t>
        </is>
      </c>
      <c r="D3" t="inlineStr">
        <is>
          <t>No</t>
        </is>
      </c>
    </row>
    <row r="4">
      <c r="A4" t="inlineStr">
        <is>
          <t>Nivel de automatización</t>
        </is>
      </c>
      <c r="B4" t="inlineStr">
        <is>
          <t>Transferir o compartir</t>
        </is>
      </c>
      <c r="C4" t="inlineStr">
        <is>
          <t>Tratado</t>
        </is>
      </c>
      <c r="D4" t="inlineStr">
        <is>
          <t>Temporal</t>
        </is>
      </c>
    </row>
    <row r="5">
      <c r="A5" t="inlineStr">
        <is>
          <t>Aprendizaje automático (datos y entrenamiento)</t>
        </is>
      </c>
      <c r="B5" t="inlineStr">
        <is>
          <t>Aceptar</t>
        </is>
      </c>
      <c r="C5" t="inlineStr">
        <is>
          <t>Aceptado</t>
        </is>
      </c>
    </row>
    <row r="6">
      <c r="A6" t="inlineStr">
        <is>
          <t>Hardware e infraestructura</t>
        </is>
      </c>
      <c r="B6" t="inlineStr">
        <is>
          <t>Aprovechar (oportunidad)</t>
        </is>
      </c>
      <c r="C6" t="inlineStr">
        <is>
          <t>Cerrado</t>
        </is>
      </c>
    </row>
    <row r="7">
      <c r="A7" t="inlineStr">
        <is>
          <t>Ciclo de vida del sistema</t>
        </is>
      </c>
    </row>
    <row r="8">
      <c r="A8" t="inlineStr">
        <is>
          <t>Madurez tecnológica</t>
        </is>
      </c>
    </row>
    <row r="9">
      <c r="A9" t="inlineStr">
        <is>
          <t>Proveedor o tercero</t>
        </is>
      </c>
    </row>
    <row r="10">
      <c r="A10" t="inlineStr">
        <is>
          <t>Uso indebido previsible</t>
        </is>
      </c>
    </row>
    <row r="11">
      <c r="A11" t="inlineStr">
        <is>
          <t>Seguridad propia de la IA</t>
        </is>
      </c>
    </row>
    <row r="12">
      <c r="A12" t="inlineStr">
        <is>
          <t>Privacidad y datos personales</t>
        </is>
      </c>
    </row>
    <row r="13">
      <c r="A13" t="inlineStr">
        <is>
          <t>Otra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5" t="inlineStr">
        <is>
          <t>Mapa inherente de riesgos de IA</t>
        </is>
      </c>
    </row>
    <row r="2">
      <c r="A2" s="6" t="inlineStr">
        <is>
          <t>Cada celda cuenta los riesgos del registro con esa consecuencia y probabilidad.</t>
        </is>
      </c>
    </row>
    <row r="4">
      <c r="B4" s="9" t="inlineStr">
        <is>
          <t>Consecuencia ↓ / Probabilidad →</t>
        </is>
      </c>
    </row>
    <row r="5">
      <c r="C5" s="23" t="inlineStr">
        <is>
          <t>1 · Rara</t>
        </is>
      </c>
      <c r="D5" s="23" t="inlineStr">
        <is>
          <t>2 · Improbable</t>
        </is>
      </c>
      <c r="E5" s="23" t="inlineStr">
        <is>
          <t>3 · Posible</t>
        </is>
      </c>
      <c r="F5" s="23" t="inlineStr">
        <is>
          <t>4 · Probable</t>
        </is>
      </c>
      <c r="G5" s="23" t="inlineStr">
        <is>
          <t>5 · Casi segura</t>
        </is>
      </c>
    </row>
    <row r="6" ht="42" customHeight="1">
      <c r="B6" s="10" t="inlineStr">
        <is>
          <t>5 · Severa</t>
        </is>
      </c>
      <c r="C6" s="24">
        <f>COUNTIFS('Registro de riesgos'!$I$5:$I$154,5,'Registro de riesgos'!$J$5:$J$154,1)</f>
        <v/>
      </c>
      <c r="D6" s="24">
        <f>COUNTIFS('Registro de riesgos'!$I$5:$I$154,5,'Registro de riesgos'!$J$5:$J$154,2)</f>
        <v/>
      </c>
      <c r="E6" s="25">
        <f>COUNTIFS('Registro de riesgos'!$I$5:$I$154,5,'Registro de riesgos'!$J$5:$J$154,3)</f>
        <v/>
      </c>
      <c r="F6" s="25">
        <f>COUNTIFS('Registro de riesgos'!$I$5:$I$154,5,'Registro de riesgos'!$J$5:$J$154,4)</f>
        <v/>
      </c>
      <c r="G6" s="25">
        <f>COUNTIFS('Registro de riesgos'!$I$5:$I$154,5,'Registro de riesgos'!$J$5:$J$154,5)</f>
        <v/>
      </c>
    </row>
    <row r="7" ht="42" customHeight="1">
      <c r="B7" s="10" t="inlineStr">
        <is>
          <t>4 · Mayor</t>
        </is>
      </c>
      <c r="C7" s="26">
        <f>COUNTIFS('Registro de riesgos'!$I$5:$I$154,4,'Registro de riesgos'!$J$5:$J$154,1)</f>
        <v/>
      </c>
      <c r="D7" s="24">
        <f>COUNTIFS('Registro de riesgos'!$I$5:$I$154,4,'Registro de riesgos'!$J$5:$J$154,2)</f>
        <v/>
      </c>
      <c r="E7" s="24">
        <f>COUNTIFS('Registro de riesgos'!$I$5:$I$154,4,'Registro de riesgos'!$J$5:$J$154,3)</f>
        <v/>
      </c>
      <c r="F7" s="25">
        <f>COUNTIFS('Registro de riesgos'!$I$5:$I$154,4,'Registro de riesgos'!$J$5:$J$154,4)</f>
        <v/>
      </c>
      <c r="G7" s="25">
        <f>COUNTIFS('Registro de riesgos'!$I$5:$I$154,4,'Registro de riesgos'!$J$5:$J$154,5)</f>
        <v/>
      </c>
    </row>
    <row r="8" ht="42" customHeight="1">
      <c r="B8" s="10" t="inlineStr">
        <is>
          <t>3 · Moderada</t>
        </is>
      </c>
      <c r="C8" s="27">
        <f>COUNTIFS('Registro de riesgos'!$I$5:$I$154,3,'Registro de riesgos'!$J$5:$J$154,1)</f>
        <v/>
      </c>
      <c r="D8" s="26">
        <f>COUNTIFS('Registro de riesgos'!$I$5:$I$154,3,'Registro de riesgos'!$J$5:$J$154,2)</f>
        <v/>
      </c>
      <c r="E8" s="24">
        <f>COUNTIFS('Registro de riesgos'!$I$5:$I$154,3,'Registro de riesgos'!$J$5:$J$154,3)</f>
        <v/>
      </c>
      <c r="F8" s="24">
        <f>COUNTIFS('Registro de riesgos'!$I$5:$I$154,3,'Registro de riesgos'!$J$5:$J$154,4)</f>
        <v/>
      </c>
      <c r="G8" s="25">
        <f>COUNTIFS('Registro de riesgos'!$I$5:$I$154,3,'Registro de riesgos'!$J$5:$J$154,5)</f>
        <v/>
      </c>
    </row>
    <row r="9" ht="42" customHeight="1">
      <c r="B9" s="10" t="inlineStr">
        <is>
          <t>2 · Menor</t>
        </is>
      </c>
      <c r="C9" s="27">
        <f>COUNTIFS('Registro de riesgos'!$I$5:$I$154,2,'Registro de riesgos'!$J$5:$J$154,1)</f>
        <v/>
      </c>
      <c r="D9" s="27">
        <f>COUNTIFS('Registro de riesgos'!$I$5:$I$154,2,'Registro de riesgos'!$J$5:$J$154,2)</f>
        <v/>
      </c>
      <c r="E9" s="26">
        <f>COUNTIFS('Registro de riesgos'!$I$5:$I$154,2,'Registro de riesgos'!$J$5:$J$154,3)</f>
        <v/>
      </c>
      <c r="F9" s="26">
        <f>COUNTIFS('Registro de riesgos'!$I$5:$I$154,2,'Registro de riesgos'!$J$5:$J$154,4)</f>
        <v/>
      </c>
      <c r="G9" s="24">
        <f>COUNTIFS('Registro de riesgos'!$I$5:$I$154,2,'Registro de riesgos'!$J$5:$J$154,5)</f>
        <v/>
      </c>
    </row>
    <row r="10" ht="42" customHeight="1">
      <c r="B10" s="10" t="inlineStr">
        <is>
          <t>1 · Insignificante</t>
        </is>
      </c>
      <c r="C10" s="27">
        <f>COUNTIFS('Registro de riesgos'!$I$5:$I$154,1,'Registro de riesgos'!$J$5:$J$154,1)</f>
        <v/>
      </c>
      <c r="D10" s="27">
        <f>COUNTIFS('Registro de riesgos'!$I$5:$I$154,1,'Registro de riesgos'!$J$5:$J$154,2)</f>
        <v/>
      </c>
      <c r="E10" s="27">
        <f>COUNTIFS('Registro de riesgos'!$I$5:$I$154,1,'Registro de riesgos'!$J$5:$J$154,3)</f>
        <v/>
      </c>
      <c r="F10" s="26">
        <f>COUNTIFS('Registro de riesgos'!$I$5:$I$154,1,'Registro de riesgos'!$J$5:$J$154,4)</f>
        <v/>
      </c>
      <c r="G10" s="26">
        <f>COUNTIFS('Registro de riesgos'!$I$5:$I$154,1,'Registro de riesgos'!$J$5:$J$154,5)</f>
        <v/>
      </c>
    </row>
    <row r="12">
      <c r="B12" s="6" t="inlineStr">
        <is>
          <t>Los colores siguen la matriz por defecto. Si cambias la matriz en Criterios, ajusta también estos colores.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5" t="inlineStr">
        <is>
          <t>Mapa residual de riesgos de IA</t>
        </is>
      </c>
    </row>
    <row r="2">
      <c r="A2" s="6" t="inlineStr">
        <is>
          <t>Cada celda cuenta los riesgos del registro con esa consecuencia y probabilidad.</t>
        </is>
      </c>
    </row>
    <row r="4">
      <c r="B4" s="9" t="inlineStr">
        <is>
          <t>Consecuencia ↓ / Probabilidad →</t>
        </is>
      </c>
    </row>
    <row r="5">
      <c r="C5" s="23" t="inlineStr">
        <is>
          <t>1 · Rara</t>
        </is>
      </c>
      <c r="D5" s="23" t="inlineStr">
        <is>
          <t>2 · Improbable</t>
        </is>
      </c>
      <c r="E5" s="23" t="inlineStr">
        <is>
          <t>3 · Posible</t>
        </is>
      </c>
      <c r="F5" s="23" t="inlineStr">
        <is>
          <t>4 · Probable</t>
        </is>
      </c>
      <c r="G5" s="23" t="inlineStr">
        <is>
          <t>5 · Casi segura</t>
        </is>
      </c>
    </row>
    <row r="6" ht="42" customHeight="1">
      <c r="B6" s="10" t="inlineStr">
        <is>
          <t>5 · Severa</t>
        </is>
      </c>
      <c r="C6" s="24">
        <f>COUNTIFS('Registro de riesgos'!$O$5:$O$154,5,'Registro de riesgos'!$P$5:$P$154,1)</f>
        <v/>
      </c>
      <c r="D6" s="24">
        <f>COUNTIFS('Registro de riesgos'!$O$5:$O$154,5,'Registro de riesgos'!$P$5:$P$154,2)</f>
        <v/>
      </c>
      <c r="E6" s="25">
        <f>COUNTIFS('Registro de riesgos'!$O$5:$O$154,5,'Registro de riesgos'!$P$5:$P$154,3)</f>
        <v/>
      </c>
      <c r="F6" s="25">
        <f>COUNTIFS('Registro de riesgos'!$O$5:$O$154,5,'Registro de riesgos'!$P$5:$P$154,4)</f>
        <v/>
      </c>
      <c r="G6" s="25">
        <f>COUNTIFS('Registro de riesgos'!$O$5:$O$154,5,'Registro de riesgos'!$P$5:$P$154,5)</f>
        <v/>
      </c>
    </row>
    <row r="7" ht="42" customHeight="1">
      <c r="B7" s="10" t="inlineStr">
        <is>
          <t>4 · Mayor</t>
        </is>
      </c>
      <c r="C7" s="26">
        <f>COUNTIFS('Registro de riesgos'!$O$5:$O$154,4,'Registro de riesgos'!$P$5:$P$154,1)</f>
        <v/>
      </c>
      <c r="D7" s="24">
        <f>COUNTIFS('Registro de riesgos'!$O$5:$O$154,4,'Registro de riesgos'!$P$5:$P$154,2)</f>
        <v/>
      </c>
      <c r="E7" s="24">
        <f>COUNTIFS('Registro de riesgos'!$O$5:$O$154,4,'Registro de riesgos'!$P$5:$P$154,3)</f>
        <v/>
      </c>
      <c r="F7" s="25">
        <f>COUNTIFS('Registro de riesgos'!$O$5:$O$154,4,'Registro de riesgos'!$P$5:$P$154,4)</f>
        <v/>
      </c>
      <c r="G7" s="25">
        <f>COUNTIFS('Registro de riesgos'!$O$5:$O$154,4,'Registro de riesgos'!$P$5:$P$154,5)</f>
        <v/>
      </c>
    </row>
    <row r="8" ht="42" customHeight="1">
      <c r="B8" s="10" t="inlineStr">
        <is>
          <t>3 · Moderada</t>
        </is>
      </c>
      <c r="C8" s="27">
        <f>COUNTIFS('Registro de riesgos'!$O$5:$O$154,3,'Registro de riesgos'!$P$5:$P$154,1)</f>
        <v/>
      </c>
      <c r="D8" s="26">
        <f>COUNTIFS('Registro de riesgos'!$O$5:$O$154,3,'Registro de riesgos'!$P$5:$P$154,2)</f>
        <v/>
      </c>
      <c r="E8" s="24">
        <f>COUNTIFS('Registro de riesgos'!$O$5:$O$154,3,'Registro de riesgos'!$P$5:$P$154,3)</f>
        <v/>
      </c>
      <c r="F8" s="24">
        <f>COUNTIFS('Registro de riesgos'!$O$5:$O$154,3,'Registro de riesgos'!$P$5:$P$154,4)</f>
        <v/>
      </c>
      <c r="G8" s="25">
        <f>COUNTIFS('Registro de riesgos'!$O$5:$O$154,3,'Registro de riesgos'!$P$5:$P$154,5)</f>
        <v/>
      </c>
    </row>
    <row r="9" ht="42" customHeight="1">
      <c r="B9" s="10" t="inlineStr">
        <is>
          <t>2 · Menor</t>
        </is>
      </c>
      <c r="C9" s="27">
        <f>COUNTIFS('Registro de riesgos'!$O$5:$O$154,2,'Registro de riesgos'!$P$5:$P$154,1)</f>
        <v/>
      </c>
      <c r="D9" s="27">
        <f>COUNTIFS('Registro de riesgos'!$O$5:$O$154,2,'Registro de riesgos'!$P$5:$P$154,2)</f>
        <v/>
      </c>
      <c r="E9" s="26">
        <f>COUNTIFS('Registro de riesgos'!$O$5:$O$154,2,'Registro de riesgos'!$P$5:$P$154,3)</f>
        <v/>
      </c>
      <c r="F9" s="26">
        <f>COUNTIFS('Registro de riesgos'!$O$5:$O$154,2,'Registro de riesgos'!$P$5:$P$154,4)</f>
        <v/>
      </c>
      <c r="G9" s="24">
        <f>COUNTIFS('Registro de riesgos'!$O$5:$O$154,2,'Registro de riesgos'!$P$5:$P$154,5)</f>
        <v/>
      </c>
    </row>
    <row r="10" ht="42" customHeight="1">
      <c r="B10" s="10" t="inlineStr">
        <is>
          <t>1 · Insignificante</t>
        </is>
      </c>
      <c r="C10" s="27">
        <f>COUNTIFS('Registro de riesgos'!$O$5:$O$154,1,'Registro de riesgos'!$P$5:$P$154,1)</f>
        <v/>
      </c>
      <c r="D10" s="27">
        <f>COUNTIFS('Registro de riesgos'!$O$5:$O$154,1,'Registro de riesgos'!$P$5:$P$154,2)</f>
        <v/>
      </c>
      <c r="E10" s="27">
        <f>COUNTIFS('Registro de riesgos'!$O$5:$O$154,1,'Registro de riesgos'!$P$5:$P$154,3)</f>
        <v/>
      </c>
      <c r="F10" s="26">
        <f>COUNTIFS('Registro de riesgos'!$O$5:$O$154,1,'Registro de riesgos'!$P$5:$P$154,4)</f>
        <v/>
      </c>
      <c r="G10" s="26">
        <f>COUNTIFS('Registro de riesgos'!$O$5:$O$154,1,'Registro de riesgos'!$P$5:$P$154,5)</f>
        <v/>
      </c>
    </row>
    <row r="12">
      <c r="B12" s="6" t="inlineStr">
        <is>
          <t>Los colores siguen la matriz por defecto. Si cambias la matriz en Criterios, ajusta también estos colores.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Carlos Adrián Guzmán · Descifrando ISO 42001</dc:creator>
  <dc:title>Metodología y matriz de riesgos de IA</dc:title>
  <dc:description>Plantilla de apoyo de la guía Descifrando ISO 42001. Interpretación del autor; no sustituye a la norma ISO/IEC 42001 ni es asesoría legal. Los nombres de los controles son traducciones libres.</dc:description>
  <dcterms:created xsi:type="dcterms:W3CDTF">2026-10-09T20:45:22Z</dcterms:created>
  <dcterms:modified xsi:type="dcterms:W3CDTF">2026-10-09T20:45:22Z</dcterms:modified>
  <cp:keywords>ISO/IEC 42001; SGIA; plantilla</cp:keywords>
</cp:coreProperties>
</file>